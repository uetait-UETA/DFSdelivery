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Gil\Aplicaciones\DFS\ExtraeCreaDocSalesSAP\"/>
    </mc:Choice>
  </mc:AlternateContent>
  <xr:revisionPtr revIDLastSave="0" documentId="13_ncr:1_{A6BAF10D-0138-4D43-81FE-A4CC1C7EF28F}" xr6:coauthVersionLast="47" xr6:coauthVersionMax="47" xr10:uidLastSave="{00000000-0000-0000-0000-000000000000}"/>
  <bookViews>
    <workbookView xWindow="-120" yWindow="-120" windowWidth="20730" windowHeight="11040" firstSheet="6" activeTab="8" xr2:uid="{93969085-E40B-43FC-A9B9-161914BB2CC3}"/>
  </bookViews>
  <sheets>
    <sheet name=" POS_Transaction" sheetId="1" r:id="rId1"/>
    <sheet name="POS_TransactionItem" sheetId="2" r:id="rId2"/>
    <sheet name="POS_TransactionTax" sheetId="3" r:id="rId3"/>
    <sheet name="POS_TransactionTender" sheetId="4" r:id="rId4"/>
    <sheet name="la_store_sales" sheetId="5" r:id="rId5"/>
    <sheet name="vw_POS_VentaItemsTransactionID_x0009_" sheetId="6" r:id="rId6"/>
    <sheet name="la vista en sql server origen" sheetId="7" r:id="rId7"/>
    <sheet name="la_delivery_errors" sheetId="8" r:id="rId8"/>
    <sheet name=" ADR_TIENDA_SERI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" i="7" l="1" a="1"/>
  <c r="A47" i="7" a="1"/>
  <c r="A61" i="7" a="1"/>
  <c r="A15" i="7" l="1"/>
  <c r="A61" i="7"/>
  <c r="A4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<sst xmlns="http://schemas.openxmlformats.org/spreadsheetml/2006/main" count="4796" uniqueCount="1038">
  <si>
    <t>TransactionID</t>
  </si>
  <si>
    <t>FileLogID</t>
  </si>
  <si>
    <t>FileName</t>
  </si>
  <si>
    <t>RetailStoreID</t>
  </si>
  <si>
    <t>WorkstationID</t>
  </si>
  <si>
    <t>SequenceNumber</t>
  </si>
  <si>
    <t>BusinessDayDate</t>
  </si>
  <si>
    <t>BeginDateTime</t>
  </si>
  <si>
    <t>EndDateTime</t>
  </si>
  <si>
    <t>TransType</t>
  </si>
  <si>
    <t>TransactionTypeDesc</t>
  </si>
  <si>
    <t>WorkstationDesc</t>
  </si>
  <si>
    <t>ApplicationID</t>
  </si>
  <si>
    <t>OrganizationID</t>
  </si>
  <si>
    <t>DivisionID</t>
  </si>
  <si>
    <t>SiteID</t>
  </si>
  <si>
    <t>UDTID</t>
  </si>
  <si>
    <t>UDTDescription</t>
  </si>
  <si>
    <t>OTC_Flag</t>
  </si>
  <si>
    <t>ReportGroup</t>
  </si>
  <si>
    <t>OperatorID</t>
  </si>
  <si>
    <t>TillSupervisor</t>
  </si>
  <si>
    <t>UserDefinedSequenceNumber</t>
  </si>
  <si>
    <t>TransactionNetAmount</t>
  </si>
  <si>
    <t>TransactionGrandAmount</t>
  </si>
  <si>
    <t>CashDrawerID</t>
  </si>
  <si>
    <t>TxnBarcode</t>
  </si>
  <si>
    <t>LoadedAt</t>
  </si>
  <si>
    <t>TransactionViewType</t>
  </si>
  <si>
    <t>PackingSlipPrinted</t>
  </si>
  <si>
    <t>RemotePrint</t>
  </si>
  <si>
    <t>WN_Version</t>
  </si>
  <si>
    <t>HeaderMessageId</t>
  </si>
  <si>
    <t>HeaderTimestamp</t>
  </si>
  <si>
    <t>TransactionUID</t>
  </si>
  <si>
    <t>TransactionLineUID</t>
  </si>
  <si>
    <t>CancelFlag</t>
  </si>
  <si>
    <t>IsVoid</t>
  </si>
  <si>
    <t>IsRefund</t>
  </si>
  <si>
    <t>IsSuspended</t>
  </si>
  <si>
    <t>IsRecall</t>
  </si>
  <si>
    <t>TotalDiscountAmount</t>
  </si>
  <si>
    <t>TotalTaxAmount</t>
  </si>
  <si>
    <t>PosLoc</t>
  </si>
  <si>
    <t>TransactionClass</t>
  </si>
  <si>
    <t>861_10_136_20260522085724-ID-DF-TP-POS-49796-1779270140164-4-42.xml</t>
  </si>
  <si>
    <t>DFS.861</t>
  </si>
  <si>
    <t>POS.10.1</t>
  </si>
  <si>
    <t>1001-LAX TBIT-DFA</t>
  </si>
  <si>
    <t>POS</t>
  </si>
  <si>
    <t>DFS</t>
  </si>
  <si>
    <t xml:space="preserve"> </t>
  </si>
  <si>
    <t>ControlTransaction</t>
  </si>
  <si>
    <t>false</t>
  </si>
  <si>
    <t>3.7.2.0</t>
  </si>
  <si>
    <t>0x9C4AFBD3817418F2C00E0E59160963B123EDA8FA</t>
  </si>
  <si>
    <t>0xCAA1D575E6C5AAF085ED34E90549C331D167750A</t>
  </si>
  <si>
    <t>NULL</t>
  </si>
  <si>
    <t>UNKNOWN</t>
  </si>
  <si>
    <t>861_10_137_20260522085726-ID-DF-TP-POS-49796-1779270140164-4-56.xml</t>
  </si>
  <si>
    <t>0x6F968EF19E253E00B19186E3BAADF7D41552DEF7</t>
  </si>
  <si>
    <t>0xC84BE9A0BF3CE4FCBD35B90A933123D012FC91D3</t>
  </si>
  <si>
    <t>861_10_138_20260522085734-ID-DF-TP-POS-49796-1779270140164-4-71.xml</t>
  </si>
  <si>
    <t>0x202AAD31F234C5CB7A675EA3B93DAB4699BD8C97</t>
  </si>
  <si>
    <t>0xD65F77B85C5749A9BFAE70B8A9F3402941DB32ED</t>
  </si>
  <si>
    <t>861_10_139_20260522085828-ID-DF-TP-POS-49796-1779270140164-4-86.xml</t>
  </si>
  <si>
    <t>DF</t>
  </si>
  <si>
    <t>Export</t>
  </si>
  <si>
    <t>Sales</t>
  </si>
  <si>
    <t>N</t>
  </si>
  <si>
    <t>RetailTransactionStockView</t>
  </si>
  <si>
    <t>Y</t>
  </si>
  <si>
    <t>0x5534CE60BE7325BAE88064867535EB7B06AE5270</t>
  </si>
  <si>
    <t>0x872A210357EE6B4CDB5F7421A7AC95E5B313E1F8</t>
  </si>
  <si>
    <t>SALE</t>
  </si>
  <si>
    <t>861_10_140_20260522085905-ID-DF-TP-POS-49796-1779270140164-4-101.xml</t>
  </si>
  <si>
    <t>0xAECE023DEF8DF9C12736BFB698DC9467A1C868A2</t>
  </si>
  <si>
    <t>0x6FB45C3A20A3378C480327C808AD4D2B0106ECA8</t>
  </si>
  <si>
    <t>861_10_141_20260525190919-ID-DF-TP-POS-49802-1779498067524-1-56.xml</t>
  </si>
  <si>
    <t>0x00752E765495D9DB7CAF8BE890C070F478A41C05</t>
  </si>
  <si>
    <t>0x0D31ADA4FC331330C66FF9EB4E9AF7388B627777</t>
  </si>
  <si>
    <t>861_10_142_20260525190920-ID-DF-TP-POS-49802-1779498067524-1-42.xml</t>
  </si>
  <si>
    <t>0xBF48ACF9F403F7806DB23C9DC016D5782E42344B</t>
  </si>
  <si>
    <t>0x0BFB7FD90DBA868AE0BDD3D2EEC59E0F5E8AC2D5</t>
  </si>
  <si>
    <t>861_10_143_20260525190937-ID-DF-TP-POS-49802-1779498067524-1-71.xml</t>
  </si>
  <si>
    <t>0x3FCF269973875405B6043E44FD20A3A9EB4CCF34</t>
  </si>
  <si>
    <t>0x6F628972483225A533193F47D58644F3B0AE3330</t>
  </si>
  <si>
    <t>861_10_144_20260525191010-ID-DF-TP-POS-49802-1779498067524-1-86.xml</t>
  </si>
  <si>
    <t>DP</t>
  </si>
  <si>
    <t>Non Export</t>
  </si>
  <si>
    <t>0x4E8DDBD91D12F5A80A3ADF25C5F4C8CE9632382D</t>
  </si>
  <si>
    <t>0x7DF5411E0F955C3839C5F0238E1FD303620984A1</t>
  </si>
  <si>
    <t>861_10_145_20260526121327-ID-DF-TP-POS-49802-1779498067524-1-101.xml</t>
  </si>
  <si>
    <t>0x7E67537D43317467F7661226A207A42DFAB47481</t>
  </si>
  <si>
    <t>0xFE618DA2EEE7EC3E5C9BDC2DB71F05D89B9EC8AE</t>
  </si>
  <si>
    <t>861_10_146_20260526121349-ID-DF-TP-POS-49802-1779498067524-1-116.xml</t>
  </si>
  <si>
    <t>0x32AC45D30D7AC05AE71DDB325191BB2C914225E6</t>
  </si>
  <si>
    <t>0xB16721FDDAFD01C22FDD3443126D7B6C10C1B3F1</t>
  </si>
  <si>
    <t>861_10_147_20260526121515-ID-DF-TP-POS-49802-1779498067524-1-131.xml</t>
  </si>
  <si>
    <t>0xA363C4EB192FA758A76B9279944D551EA26EFB54</t>
  </si>
  <si>
    <t>0x3AC95F7A86E7ED9078ABCCF6850730BC9915B695</t>
  </si>
  <si>
    <t>861_10_148_20260526121910-ID-DF-TP-POS-49802-1779498067524-1-146.xml</t>
  </si>
  <si>
    <t>0xDA453AE4DAD6431D4802D4A783CE9D5B4F6FF1FD</t>
  </si>
  <si>
    <t>0xE251AF693B05485C17C937C2A7668E7F5E9D89AF</t>
  </si>
  <si>
    <t>861_10_149_20260526122002-ID-DF-TP-POS-49802-1779498067524-1-161.xml</t>
  </si>
  <si>
    <t>0x0327C3628ACA3F63BD9C710C324DD9A7D9F4F151</t>
  </si>
  <si>
    <t>0xAF1B4785883DD827F3FECEA0AF2DB7A0BEE68FAE</t>
  </si>
  <si>
    <t>861_10_150_20260526122858-ID-DF-TP-POS-49802-1779498067524-1-176.xml</t>
  </si>
  <si>
    <t>0xA84640CB8202EB2062A8D1B3D317660301C33F45</t>
  </si>
  <si>
    <t>0x9415138738CAECE7EFF0FA183B1758708A3DFF29</t>
  </si>
  <si>
    <t>861_10_151_20260602082207-ID-DF-TP-POS-49799-1780102883689-1-12.xml</t>
  </si>
  <si>
    <t>0x9AC7C7E521D0F803B9727E59C6DC6CCD93262C33</t>
  </si>
  <si>
    <t>0x197669961446D322C38F20D5D25C2C6E28FDECD3</t>
  </si>
  <si>
    <t>861_10_152_20260602082454-ID-DF-TP-POS-49799-1780102883689-1-27.xml</t>
  </si>
  <si>
    <t>0x97A8CF1CA6D22927F98FADA2F5311826469B8F1A</t>
  </si>
  <si>
    <t>0x158CE683EFECCB325D251BD77DEC7E549E7C9319</t>
  </si>
  <si>
    <t>861_10_153_20260602082455-ID-DF-TP-POS-49799-1780102883689-1-42.xml</t>
  </si>
  <si>
    <t>0x8E859898B94FBDDE69CA7EE35BB18F84F0399123</t>
  </si>
  <si>
    <t>0x3A4C964A3AF636FF179DE8CBB213574F2AC48479</t>
  </si>
  <si>
    <t>861_10_154_20260602082508-ID-DF-TP-POS-49799-1780102883689-1-57.xml</t>
  </si>
  <si>
    <t>0x3517A82FE43C244CECDF35783453523850AE5AFE</t>
  </si>
  <si>
    <t>0x6FCF0518A00321EAC76472A182F2911AC9A977DF</t>
  </si>
  <si>
    <t>861_10_155_20260602082509-ID-DF-TP-POS-49799-1780102883689-1-72.xml</t>
  </si>
  <si>
    <t>0xF88C79460E66EC7179D35C9825A59A9B70505A11</t>
  </si>
  <si>
    <t>0x4405E485A40522AE390154E854BC5583567FE745</t>
  </si>
  <si>
    <t>861_10_156_20260602094349-ID-DF-TP-POS-49799-1780102883689-1-87.xml</t>
  </si>
  <si>
    <t>0xFC91F759C858F8D15F5DA4D7981DEF6692BD6995</t>
  </si>
  <si>
    <t>0xBEFBBD6E88192ECA18C971AC8BBDCA435C8AD7DF</t>
  </si>
  <si>
    <t>861_10_157_20260602094539-ID-DF-TP-POS-49799-1780102883689-1-102.xml</t>
  </si>
  <si>
    <t>0x9DB50E7226A02AD2F5C67273E37C7CB79D954F9F</t>
  </si>
  <si>
    <t>0x6F5D2FE39C40F3F89784AEBC5432EB987BB05665</t>
  </si>
  <si>
    <t>861_10_158_20260602123549-ID-DF-TP-POS-49799-1780102883689-1-117.xml</t>
  </si>
  <si>
    <t>0xA2D13A5D83ABDA79570817F1AA9AFC19359369D1</t>
  </si>
  <si>
    <t>0x19BD6DA93A8CAC50C3A2DD7C7A3EC68509B27F03</t>
  </si>
  <si>
    <t>861_10_159_20260602125524-ID-DF-TP-POS-49799-1780102883689-1-132.xml</t>
  </si>
  <si>
    <t>0x9174313D21F2DE07E3C556A37A5AFC728B5BBBAC</t>
  </si>
  <si>
    <t>0xE5BC1EAD6B3EB2FAE565A429522C465478EFE984</t>
  </si>
  <si>
    <t>861_10_160_20260602125737-ID-DF-TP-POS-49799-1780102883689-1-147.xml</t>
  </si>
  <si>
    <t>0x021873D532E7973E367D1C0962DDEA639302E25B</t>
  </si>
  <si>
    <t>0xB5E6DFECC002D639EA0EEA3BA4DD00BB1D3BD245</t>
  </si>
  <si>
    <t>861_10_161_20260602125935-ID-DF-TP-POS-49799-1780102883689-1-162.xml</t>
  </si>
  <si>
    <t>0x9C84CCE0167DC6CC52BFE3000BA50D110D0178C9</t>
  </si>
  <si>
    <t>0x3ACFB219DEDA9BC235CA27FC810D27986343AE6A</t>
  </si>
  <si>
    <t>861_10_162_20260602131035-ID-DF-TP-POS-49799-1780102883689-1-177.xml</t>
  </si>
  <si>
    <t>0x5AF6CE4DB0E1E34D29615F59B15DC438679495C7</t>
  </si>
  <si>
    <t>0xDF695AA9CA61B89E560A902DCECB2E5BDC092A2A</t>
  </si>
  <si>
    <t>861_10_163_20260602131631-ID-DF-TP-POS-49799-1780102883689-1-192.xml</t>
  </si>
  <si>
    <t>0x31E1D15A5DC3E7C1A2E8FFE762A4171C59519AF1</t>
  </si>
  <si>
    <t>0x176CB844C3B4CF58D281F6DEBF400FEF9C6280D6</t>
  </si>
  <si>
    <t>861_10_164_20260602131831-ID-DF-TP-POS-49799-1780102883689-1-207.xml</t>
  </si>
  <si>
    <t>0xEF255C62FBC33AEBBA421008F62E008D0FD3FADF</t>
  </si>
  <si>
    <t>0xDCFEC389759570BCBA8DAE5547E78589DC977EB2</t>
  </si>
  <si>
    <t>861_10_165_20260602132239-ID-DF-TP-POS-49799-1780102883689-1-222.xml</t>
  </si>
  <si>
    <t>0xC704F7257210C3EB71091B39983C3CE2ABB7677E</t>
  </si>
  <si>
    <t>0x4C07939F1CC291A0717A78A34B4747D41A0B4211</t>
  </si>
  <si>
    <t>861_10_166_20260602132532-ID-DF-TP-POS-49799-1780102883689-1-237.xml</t>
  </si>
  <si>
    <t>0xA012A2055FD629C08CAD402E90F501665EEF0C6A</t>
  </si>
  <si>
    <t>0xBD1B2BA1CD337731A3713C2780FBCA4468B5E9E8</t>
  </si>
  <si>
    <t>861_10_167_20260602132750-ID-DF-TP-POS-49799-1780102883689-1-252.xml</t>
  </si>
  <si>
    <t>0x802BA7D62324392B7E5D889721449BC58613CCD3</t>
  </si>
  <si>
    <t>0x08D10A53D410011CEA683D136E434C2924DEB245</t>
  </si>
  <si>
    <t>861_3_100_20260521000952-ID-DF-TP-POS-49796-1779270140164-4-12.xml</t>
  </si>
  <si>
    <t>POS.3.1</t>
  </si>
  <si>
    <t>0x12AAA33260B6CBEAC94951F9D0F74147190D5F8F</t>
  </si>
  <si>
    <t>0x86EE18622CCD9A33D40D697F0119E5CB686108FE</t>
  </si>
  <si>
    <t>861_3_101_20260521001128-ID-DF-TP-POS-49796-1779270140164-4-27.xml</t>
  </si>
  <si>
    <t>0x75B2013B02655824D20A9467F1E6C104794DCFB2</t>
  </si>
  <si>
    <t>0xFE815C32D8C442592B7F773A7AA478A686D753FB</t>
  </si>
  <si>
    <t>861_3_102_20260521001303-ID-DF-TP-POS-49802-1779498067524-1-12.xml</t>
  </si>
  <si>
    <t>0x09A0624333748AE394ACB85BA58AAE5457B8B0CE</t>
  </si>
  <si>
    <t>0x4122819D267B8636802B02C433E476591DF16FF6</t>
  </si>
  <si>
    <t>861_3_103_20260525190516-ID-DF-TP-POS-49802-1779498067524-1-27.xml</t>
  </si>
  <si>
    <t>0xA2BE61B3DC416D6A758C86553BBD9FE276A7A96F</t>
  </si>
  <si>
    <t>0x222F8F58DE38DEC88966635AA7D6A0B010A4EFE7</t>
  </si>
  <si>
    <t>861_10_168_20260602141452-ID-DF-TP-POS-49799-1780102883689-1-267.xml</t>
  </si>
  <si>
    <t>0x0D1CE3F341E7D7CE4BB76BDF197F5D8B4679519D</t>
  </si>
  <si>
    <t>0xEB4C5BAFE3E4C839EB2381A94B4188662086630D</t>
  </si>
  <si>
    <t>861_10_169_20260602141453-ID-DF-TP-POS-49799-1780102883689-1-282.xml</t>
  </si>
  <si>
    <t>0xE872439A1565F1A0961F9B8A8EE28A88B64B1347</t>
  </si>
  <si>
    <t>0x462EC80A187901AE7CBB4DADCDD6ED54EA3E7CB8</t>
  </si>
  <si>
    <t>861_10_170_20260602142136-ID-DF-TP-POS-49799-1780102883689-1-297.xml</t>
  </si>
  <si>
    <t>0x415092882C00C1FB49D03978E1C84AC2AA85FB7B</t>
  </si>
  <si>
    <t>0x0BDFA3CB452A22453431706F528ECA0348B9BE80</t>
  </si>
  <si>
    <t>861_10_171_20260602144828-ID-DF-TP-POS-49799-1780102883689-1-312.xml</t>
  </si>
  <si>
    <t>0xCB3748CCB10164E1A1FDFDDA5AE9A94DB3B3B8DB</t>
  </si>
  <si>
    <t>0x05D10A87FD3E6A7450E182E84A6A6A91CE3E328F</t>
  </si>
  <si>
    <t>861_10_172_20260602144829-ID-DF-TP-POS-49799-1780102883689-1-327.xml</t>
  </si>
  <si>
    <t>ReturnWithReceipt</t>
  </si>
  <si>
    <t>0x20ACEED2DC96355F4ED70967FE93CD70271D2800</t>
  </si>
  <si>
    <t>0xD54DB6DF63230A0834B63D1C66A348E7AB39D7D4</t>
  </si>
  <si>
    <t>RETURN</t>
  </si>
  <si>
    <t>861_10_173_20260602145402-ID-DF-TP-POS-49799-1780102883689-1-342.xml</t>
  </si>
  <si>
    <t>0x50B25DF061B593708DE33B79877EAD50BD87CBF9</t>
  </si>
  <si>
    <t>0xEE4C3BF936F29000805627EE0DBC899AADE25570</t>
  </si>
  <si>
    <t>861_10_174_20260602145711-ID-DF-TP-POS-49799-1780102883689-1-357.xml</t>
  </si>
  <si>
    <t>0x194468AC4DE7A70E92F0661F54271CF6FE175C06</t>
  </si>
  <si>
    <t>0x5F65C15C031A3A8871850DE71E6FBAC8CBA1685C</t>
  </si>
  <si>
    <t>861_10_175_20260602150653-ID-DF-TP-POS-49799-1780102883689-1-372.xml</t>
  </si>
  <si>
    <t>0xE5693E49993FB9A9B26F0B95307C1360032D5BFF</t>
  </si>
  <si>
    <t>0xD8CCABF2E85507FE38A7F8A0ADA702480E46FEA8</t>
  </si>
  <si>
    <t>861_10_176_20260602150811-ID-DF-TP-POS-49799-1780102883689-1-387.xml</t>
  </si>
  <si>
    <t>0x0D2B8375C7DB7AF27EE9D30033F037DE1D51749F</t>
  </si>
  <si>
    <t>0xFD7668E59800F5CE8565457AA6E5BBCC023D149D</t>
  </si>
  <si>
    <t>861_10_177_20260602152340-ID-DF-TP-POS-49799-1780102883689-1-402.xml</t>
  </si>
  <si>
    <t>0x2C5E5E8901F45CF366D609F7464C8988B40F754A</t>
  </si>
  <si>
    <t>0x72DA3420A825B8810B0F6CD69F40F959724B2772</t>
  </si>
  <si>
    <t>861_10_178_20260602152440-ID-DF-TP-POS-49799-1780102883689-1-417.xml</t>
  </si>
  <si>
    <t>0xF8F1B10489AF9120844C65FAD50E5F013E8E6D56</t>
  </si>
  <si>
    <t>0x0A545FE0CA5F4E174795147B5D35C087C969CC7A</t>
  </si>
  <si>
    <t>861_10_179_20260602152938-ID-DF-TP-POS-49799-1780102883689-1-432.xml</t>
  </si>
  <si>
    <t>0x8620AD3F1B6EB82583208E6C3D25AC44249DB0AB</t>
  </si>
  <si>
    <t>0x4EA180F6C28623093E9D0186568B6A2AB93641ED</t>
  </si>
  <si>
    <t>861_10_180_20260605063316-ID-DF-TP-POS-49799-1780102883689-1-447.xml</t>
  </si>
  <si>
    <t>0xC45AFCFC67E2D6882BD710BE60C814A068959BAF</t>
  </si>
  <si>
    <t>0xDFFDA80B870637CCC7E8806910A15B8B038B8873</t>
  </si>
  <si>
    <t>861_10_181_20260605063319-ID-DF-TP-POS-49799-1780102883689-1-461.xml</t>
  </si>
  <si>
    <t>0xFB1E58847C45CAACD8F484EB3BDDBD62C226481D</t>
  </si>
  <si>
    <t>0x0B9DD168C2CDF1F213ED8CC3A17B7FFAB74A276D</t>
  </si>
  <si>
    <t>861_10_182_20260605063329-ID-DF-TP-POS-49799-1780102883689-1-476.xml</t>
  </si>
  <si>
    <t>0xFF1F6C7BB76E7A6F3DD4876111CE6E64F9CDE6DA</t>
  </si>
  <si>
    <t>0x8C64D94D8839F236959F53552A5DE03C150F4879</t>
  </si>
  <si>
    <t>861_10_183_20260605063330-ID-DF-TP-POS-49799-1780102883689-1-491.xml</t>
  </si>
  <si>
    <t>0x2293F5A6E0F9EB755647EC32BADBB6673798A6C2</t>
  </si>
  <si>
    <t>0xE441A0E691E629AA785AF4B1A5DA1AF6C5563311</t>
  </si>
  <si>
    <t>861_10_184_20260605063645-ID-DF-TP-POS-49799-1780102883689-1-506.xml</t>
  </si>
  <si>
    <t>0x682F1CBD1056F6D468C3E9D3F4B2ACFE68A7C9C1</t>
  </si>
  <si>
    <t>0xA2FE60A6EAED39ADA8415183C7C4AF6037B0F7B1</t>
  </si>
  <si>
    <t>861_10_185_20260605064053-ID-DF-TP-POS-49799-1780102883689-1-521.xml</t>
  </si>
  <si>
    <t>0x9F701BAD751D01DFECD7C8C8714702C453605363</t>
  </si>
  <si>
    <t>0x8DDC762D7AD0A3489388C928DFA45933150D61A1</t>
  </si>
  <si>
    <t>861_10_186_20260605065319-ID-DF-TP-POS-49799-1780102883689-1-536.xml</t>
  </si>
  <si>
    <t>0x9344E0FC5D89F05696A2D901777B528F9ADB7650</t>
  </si>
  <si>
    <t>0x686AF4FA90C3F5B4C6A929C4D92133132ED05C57</t>
  </si>
  <si>
    <t>861_10_187_20260605070446-ID-DF-TP-POS-49799-1780102883689-1-551.xml</t>
  </si>
  <si>
    <t>0x608CB6F86713E030315AAC8ABF7B43FDD5EE96F3</t>
  </si>
  <si>
    <t>0xD2C4236F9B44937660B5CCCB02FC05C20CAB5223</t>
  </si>
  <si>
    <t>861_10_188_20260605070446-ID-DF-TP-POS-49799-1780102883689-1-566.xml</t>
  </si>
  <si>
    <t>0x69D90F7FFB9050F37F85E667B093EFD4C49F02FB</t>
  </si>
  <si>
    <t>0xC64A4D3B9E85A68C212EF0BE6B09F4A5C48D2AC3</t>
  </si>
  <si>
    <t>861_10_189_20260605071001-ID-DF-TP-POS-49799-1780102883689-1-581.xml</t>
  </si>
  <si>
    <t>0x0F86AE26CC8F13616E96F9F05D85EF643B0B5274</t>
  </si>
  <si>
    <t>0xCED1D17BC4A4C3633FF9931577F1B447D7F8F5F0</t>
  </si>
  <si>
    <t>861_10_190_20260605071615-ID-DF-TP-POS-49799-1780102883689-1-596.xml</t>
  </si>
  <si>
    <t>0xF7BFBF6647F2548B34BD59032AD5E5895263CD7E</t>
  </si>
  <si>
    <t>0xDA4D6F78E5AFFFAB17C94995C21E5ACE67023C29</t>
  </si>
  <si>
    <t>861_10_191_20260605071736-ID-DF-TP-POS-49799-1780102883689-1-611.xml</t>
  </si>
  <si>
    <t>0x5FB551ACE13ADF05D465A0522ABFC15A042190E5</t>
  </si>
  <si>
    <t>0x46BBD368DC34412686677679DF10C304D6B1783B</t>
  </si>
  <si>
    <t>861_10_192_20260605071915-ID-DF-TP-POS-49799-1780102883689-1-626.xml</t>
  </si>
  <si>
    <t>0xE1A3B33C70BB2DB96E9C46A11BCAF1FBD65C4353</t>
  </si>
  <si>
    <t>0x59A9220124490CB2D528AE4300CE9DF9CFF44540</t>
  </si>
  <si>
    <t>861_10_193_20260605072532-ID-DF-TP-POS-49799-1780102883689-1-641.xml</t>
  </si>
  <si>
    <t>0x211FEC08209EC1C8EE0C6ED7CA2D9CD9F21A787F</t>
  </si>
  <si>
    <t>0x0E79F4B83004560B0CB3FFDD756EF6AFD332C4F5</t>
  </si>
  <si>
    <t>861_10_194_20260605073145-ID-DF-TP-POS-49799-1780102883689-1-656.xml</t>
  </si>
  <si>
    <t>0x1B683CC3865B4E2AAC3B19E1C7E35AA6AC1E78B1</t>
  </si>
  <si>
    <t>0x15ADA7892DF6B7CE0A5D1C8D77C46E672075499E</t>
  </si>
  <si>
    <t>861_10_195_20260605073804-ID-DF-TP-POS-49799-1780102883689-1-671.xml</t>
  </si>
  <si>
    <t>0xEFD72A98637CCCDC71D0EF0C826B1BD696EBED12</t>
  </si>
  <si>
    <t>0xA6720FE27B7774705B619125E1BABEC7B3DD9B00</t>
  </si>
  <si>
    <t>861_10_196_20260605074135-ID-DF-TP-POS-49799-1780102883689-1-686.xml</t>
  </si>
  <si>
    <t>0x21679E0ACE8E41C004414C45FD7995B5E382FA7A</t>
  </si>
  <si>
    <t>0x6BAA62D5EBF53D858161759629F7CBDD27BDEE6F</t>
  </si>
  <si>
    <t>861_10_197_20260605074136-ID-DF-TP-POS-49799-1780102883689-1-701.xml</t>
  </si>
  <si>
    <t>0xC27DCF580BB7A36B511ADBBF6D92EE08FEE1CEAA</t>
  </si>
  <si>
    <t>0x6B7CB46E4389289180B00D6462521481861D91D8</t>
  </si>
  <si>
    <t>861_10_198_20260605074313-ID-DF-TP-POS-49799-1780102883689-1-716.xml</t>
  </si>
  <si>
    <t>0xCBEB9B8E63A1C2FC8D4AD597BC4FF4316EC821DB</t>
  </si>
  <si>
    <t>0x9232117CA0B42FEF87AE48C16D70D903036ED118</t>
  </si>
  <si>
    <t>861_10_199_20260605090240-ID-DF-TP-POS-49799-1780102883689-1-731.xml</t>
  </si>
  <si>
    <t>0xBE4735709434BA06D9D3B3EACE0C39116229BA48</t>
  </si>
  <si>
    <t>0x428742CEC168E535536EC46FE8D427838DB459FE</t>
  </si>
  <si>
    <t>ItemLineID</t>
  </si>
  <si>
    <t>LineItemSequence</t>
  </si>
  <si>
    <t>LineNumber</t>
  </si>
  <si>
    <t>ActionCode</t>
  </si>
  <si>
    <t>POSItemID</t>
  </si>
  <si>
    <t>ItemKey</t>
  </si>
  <si>
    <t>Description</t>
  </si>
  <si>
    <t>MerchandiseHierarchy</t>
  </si>
  <si>
    <t>Quantity</t>
  </si>
  <si>
    <t>ActualSalesUnitPrice</t>
  </si>
  <si>
    <t>ExtendedAmount</t>
  </si>
  <si>
    <t>TaxFlag</t>
  </si>
  <si>
    <t>TaxCode</t>
  </si>
  <si>
    <t>TaxAmount</t>
  </si>
  <si>
    <t>InventoryLocation</t>
  </si>
  <si>
    <t>DutyType</t>
  </si>
  <si>
    <t>OrigWorkstationNmbr</t>
  </si>
  <si>
    <t>OrigTrxSiteID</t>
  </si>
  <si>
    <t>OrigTrxUserDefNumber</t>
  </si>
  <si>
    <t>OrigDate</t>
  </si>
  <si>
    <t>ItemType</t>
  </si>
  <si>
    <t>DiscountAmount</t>
  </si>
  <si>
    <t>DiscountDescription</t>
  </si>
  <si>
    <t>DiscountModifierID</t>
  </si>
  <si>
    <t>PreviousPrice</t>
  </si>
  <si>
    <t>ParentLineNumber</t>
  </si>
  <si>
    <t>LineType</t>
  </si>
  <si>
    <t>OverridePrice</t>
  </si>
  <si>
    <t>XMLSequence</t>
  </si>
  <si>
    <t>SaleLineNumber</t>
  </si>
  <si>
    <t>IsPreOrder</t>
  </si>
  <si>
    <t>PromoterID</t>
  </si>
  <si>
    <t>iGateReference</t>
  </si>
  <si>
    <t>DutyAmount</t>
  </si>
  <si>
    <t>SELL</t>
  </si>
  <si>
    <t>BAG BOLIDE 31</t>
  </si>
  <si>
    <t>False</t>
  </si>
  <si>
    <t>S1</t>
  </si>
  <si>
    <t>DutyFree</t>
  </si>
  <si>
    <t>Stock</t>
  </si>
  <si>
    <t>0xF51CC2BEDE36E8FC21A0F7AA7A6324F18DF55C8E</t>
  </si>
  <si>
    <t>MAC E/SXTRDIM</t>
  </si>
  <si>
    <t>True</t>
  </si>
  <si>
    <t>S2</t>
  </si>
  <si>
    <t>DutyPaid</t>
  </si>
  <si>
    <t>Transaction %  Disc</t>
  </si>
  <si>
    <t>Transaction %  Disc-80</t>
  </si>
  <si>
    <t>0x170F3E399442AC852E816C789D6C4BC8B10093D3</t>
  </si>
  <si>
    <t>LGS ATO SS LD</t>
  </si>
  <si>
    <t>0xC2DF175E8A557C1AF3E911A9A619260319A81F9D</t>
  </si>
  <si>
    <t>0xE92E55CDBCB0744CD2A83960A18038E227436A9E</t>
  </si>
  <si>
    <t>MACA 200YY TIM</t>
  </si>
  <si>
    <t>0x728DD71B70E8B5815354E9DEE125435E7C26EDD2</t>
  </si>
  <si>
    <t>MACA M12 TALES</t>
  </si>
  <si>
    <t>0x5065A0F55CB202D0C4EDB53EA4423CC3DE9449A7</t>
  </si>
  <si>
    <t>0xA6C9E8EC53EA1FDD6ED74DC529CC46DD55C1BF07</t>
  </si>
  <si>
    <t>EH T BOTTLED I</t>
  </si>
  <si>
    <t>0xB4A1B74349F418B4F68B273B8C8E01EA993D3472</t>
  </si>
  <si>
    <t>1792 XV 15YR 1</t>
  </si>
  <si>
    <t>0xE09A9064F08235F5D8BAFA5B4168F916CF5AA3D4</t>
  </si>
  <si>
    <t>MM CELLAR AGE</t>
  </si>
  <si>
    <t>0x49742371E5D3C8C8C74A6D84C7DEB78801F8E910</t>
  </si>
  <si>
    <t>ANBR CHOC BAIL</t>
  </si>
  <si>
    <t>S4</t>
  </si>
  <si>
    <t>0x4A6A7B21433FBF82D2D432778379AE0C7E6539BC</t>
  </si>
  <si>
    <t>AM GINSENG XL</t>
  </si>
  <si>
    <t>0x1B14984EAA9DE2DF5F0EEC09765BBD15090301D1</t>
  </si>
  <si>
    <t>0x7D66C7EF1F5E418D285EC4EF89BFAD35943718AA</t>
  </si>
  <si>
    <t>TOO WHITE RUM</t>
  </si>
  <si>
    <t>BTY Buy 150 USD Get 10% Off</t>
  </si>
  <si>
    <t>BTY Buy 150 USD Get 10% Off-5</t>
  </si>
  <si>
    <t>0x934F7EF3C6785B6DFA8E560BE96AF11944F43CFC</t>
  </si>
  <si>
    <t>TOO DARK RUM</t>
  </si>
  <si>
    <t>0x9A60F17CB7BEAB78F78CF8066BE4DDE624ACB40F</t>
  </si>
  <si>
    <t>CA EAR METEORI</t>
  </si>
  <si>
    <t>0x34E638201042739F250B67BDD2AE37FE6F608FC0</t>
  </si>
  <si>
    <t>GG ALTIUS</t>
  </si>
  <si>
    <t>0x88B4795E1BB04609B6C4B5B30B00D6435ADC9DA9</t>
  </si>
  <si>
    <t>M amp M M amp</t>
  </si>
  <si>
    <t>0xF93281EDE9FA3C2B4FCE900F4A3B91C4C3025422</t>
  </si>
  <si>
    <t>PVW 13YR</t>
  </si>
  <si>
    <t>0x698D481FDCE3DCDB32CFA49D5DF87BBF008CC95A</t>
  </si>
  <si>
    <t>0x8F1996831A8106D801ECC9AF8D3C169B83929415</t>
  </si>
  <si>
    <t>0x59B2D8BC90FB68124FFD7C281F759D70D33F6D4F</t>
  </si>
  <si>
    <t>BOND MELBURY 2</t>
  </si>
  <si>
    <t>0xC0595F55B10C2929F59A08C36E0D3AA927440E9F</t>
  </si>
  <si>
    <t>HARL HARLAN ES</t>
  </si>
  <si>
    <t>0x18DF390A339EAA6185A2E20E685FDF564675767C</t>
  </si>
  <si>
    <t>HRS REESES ANI</t>
  </si>
  <si>
    <t>0xFC0DCE48AE90FDB1C77FA71EFC6C0DA0F38EDDD0</t>
  </si>
  <si>
    <t>0xBC6BDE5CBCF1BE2D120F203322500E626E3ECE20</t>
  </si>
  <si>
    <t>0x795C9E15C3AD11C1419C5CC85739789B71731587</t>
  </si>
  <si>
    <t>MERR M12 MV PR</t>
  </si>
  <si>
    <t>0xBAE4188A481A192A8754563490DDF5E00EE9F581</t>
  </si>
  <si>
    <t>0x716755DCD17D2CDD3DA5F52BAEFF059F88DAB0BA</t>
  </si>
  <si>
    <t>0x9AFC3736FB0EEC5691C570CE977E1E1A06D95340</t>
  </si>
  <si>
    <t>0x341A32C9E2ED7610A65257BB2815A5A65BC1AC9A</t>
  </si>
  <si>
    <t>TaxLineID</t>
  </si>
  <si>
    <t>TaxableAmount</t>
  </si>
  <si>
    <t>CreatedAt</t>
  </si>
  <si>
    <t>CHARGE</t>
  </si>
  <si>
    <t>TenderLineID</t>
  </si>
  <si>
    <t>TenderID</t>
  </si>
  <si>
    <t>Amount</t>
  </si>
  <si>
    <t>AccountID</t>
  </si>
  <si>
    <t>CurrencyID</t>
  </si>
  <si>
    <t>HostAuthorized</t>
  </si>
  <si>
    <t>AuthorizationCode</t>
  </si>
  <si>
    <t>TenderUID</t>
  </si>
  <si>
    <t>IsChange</t>
  </si>
  <si>
    <t>TenderChangeAmount</t>
  </si>
  <si>
    <t>Korean BC Offline-12</t>
  </si>
  <si>
    <t>USD</t>
  </si>
  <si>
    <t>TenderMerch</t>
  </si>
  <si>
    <t>PAYMENT</t>
  </si>
  <si>
    <t>0xB354EA504F1AF2D746C0861F573E2C4B13464A0D</t>
  </si>
  <si>
    <t>Visa Offline-15</t>
  </si>
  <si>
    <t>0xE9ADA501D887D923C231122C2EE8D515CA1E2CA0</t>
  </si>
  <si>
    <t>0x9AE85562BDD6870AA0989C79EDB3E21F0CA7A00E</t>
  </si>
  <si>
    <t>0x178EBC395D3EF89EC80CDBD6AA1558C021E1C90B</t>
  </si>
  <si>
    <t>0x4CE3BDF92C41042F6553837E05D5632AB14E462A</t>
  </si>
  <si>
    <t>0xC6548A85FED32CC17139A8EF06FBD8B768C2ABBC</t>
  </si>
  <si>
    <t>0xD53DA4B1E3D738314EB0461453E381FD241F22A8</t>
  </si>
  <si>
    <t>CASH USD-1</t>
  </si>
  <si>
    <t>0x1B6C14CA7AF5AC39BBB10115E65F220954E25637</t>
  </si>
  <si>
    <t>TenderChange</t>
  </si>
  <si>
    <t>CHANGE</t>
  </si>
  <si>
    <t>0x9CF0EC0D4DDD2A158491DE9B8FBDD9000D942F19</t>
  </si>
  <si>
    <t>0x47DA0773BC30B86D700EA2A99BEACC25224EA968</t>
  </si>
  <si>
    <t>0x41F6437FDB5B15F028922841946FD82432FCAE74</t>
  </si>
  <si>
    <t>0x4A5854A1F2BD053110CA42E53BB7CC7502E62F71</t>
  </si>
  <si>
    <t>0x848675B9B3E79D2EF1D8E3CA3AE9784F47018541</t>
  </si>
  <si>
    <t>0xC999221DD40CD2655C205AA8767E6DC7AC5FA6C9</t>
  </si>
  <si>
    <t>0xFBFCDA123C4CA4D0EF34D5498DE318FBABF6D18E</t>
  </si>
  <si>
    <t>WeChat Timeout-83</t>
  </si>
  <si>
    <t>0xAB1139024C4A4B2A44DB4B9E675D8190269F3B73</t>
  </si>
  <si>
    <t>RCP_Offline_Visa-18</t>
  </si>
  <si>
    <t>0x431557C0E80C0C5D02710EF8FE298F0BA806AA40</t>
  </si>
  <si>
    <t>0xE637B7A588F615F8EA9D0E23CE21DB41E1514408</t>
  </si>
  <si>
    <t>RCP_Offline_Master-20</t>
  </si>
  <si>
    <t>0xC3A33E1CFC2473F46A07AFBA0881A6EF3BA0A94D</t>
  </si>
  <si>
    <t>Discover Offline-13</t>
  </si>
  <si>
    <t>0x88AF52E95EDF85E93942418FBC686C86ABF9A136</t>
  </si>
  <si>
    <t>Amex Offline-10</t>
  </si>
  <si>
    <t>0x87C19C4893B963E63173E68DA30E12A1794B40B7</t>
  </si>
  <si>
    <t>ID</t>
  </si>
  <si>
    <t>CompanyId</t>
  </si>
  <si>
    <t>transnum</t>
  </si>
  <si>
    <t>itemnum</t>
  </si>
  <si>
    <t>txnvoidmod</t>
  </si>
  <si>
    <t>txnmodifier</t>
  </si>
  <si>
    <t>storenum</t>
  </si>
  <si>
    <t>itemdatetime</t>
  </si>
  <si>
    <t>skunum</t>
  </si>
  <si>
    <t>pludesc</t>
  </si>
  <si>
    <t>qty</t>
  </si>
  <si>
    <t>stdunitprice</t>
  </si>
  <si>
    <t>extsellprice</t>
  </si>
  <si>
    <t>extundiscprice</t>
  </si>
  <si>
    <t>DeliveryDocNum</t>
  </si>
  <si>
    <t>NUMSERIE</t>
  </si>
  <si>
    <t>NUMALBARAN</t>
  </si>
  <si>
    <t>ABONODE_NUMALBARAN</t>
  </si>
  <si>
    <t>ABONODE_NUMSERIE</t>
  </si>
  <si>
    <t>NEWPCANA</t>
  </si>
  <si>
    <t xml:space="preserve">03-50257          </t>
  </si>
  <si>
    <t>PACO RABANNE INVICTUS PLATINUM EDP SPR 2</t>
  </si>
  <si>
    <t xml:space="preserve">03-39702          </t>
  </si>
  <si>
    <t>LANCOME MINIATURES LA COLLECTION R20</t>
  </si>
  <si>
    <t xml:space="preserve">03-00329          </t>
  </si>
  <si>
    <t>TOUCH FOR MEN EDT SPR 100ML</t>
  </si>
  <si>
    <t xml:space="preserve">03-01288          </t>
  </si>
  <si>
    <t>HUGO DARK BLUE EDT SPR 75ML</t>
  </si>
  <si>
    <t xml:space="preserve">03-09311          </t>
  </si>
  <si>
    <t>360° PURPLE FOR WOMAN EDP SPR 100ML</t>
  </si>
  <si>
    <t xml:space="preserve">03-10320          </t>
  </si>
  <si>
    <t>360° CORAL FOR WOMEN EDP SPR 100ML</t>
  </si>
  <si>
    <t xml:space="preserve">01-06003          </t>
  </si>
  <si>
    <t>HENNESSEY PURE WHITE 6X700ML NR  40%</t>
  </si>
  <si>
    <t xml:space="preserve">03-25135          </t>
  </si>
  <si>
    <t>360º FOR WOMEN BODY MIST SPRAY 236ML</t>
  </si>
  <si>
    <t xml:space="preserve">03-25137          </t>
  </si>
  <si>
    <t>360º CORAL FOR WOMEN BODY MIST SPRAY 236</t>
  </si>
  <si>
    <t>ArchivoOrigen</t>
  </si>
  <si>
    <t>Anio</t>
  </si>
  <si>
    <t>Mes</t>
  </si>
  <si>
    <t>Dia</t>
  </si>
  <si>
    <t>DuracionSeg</t>
  </si>
  <si>
    <t>TipoTransaccion</t>
  </si>
  <si>
    <t>DescTipoTransaccion</t>
  </si>
  <si>
    <t>SecuenciaTransaccion</t>
  </si>
  <si>
    <t>NroTicket</t>
  </si>
  <si>
    <t>ItemAccion</t>
  </si>
  <si>
    <t>CodigoBarras</t>
  </si>
  <si>
    <t>Descripcion</t>
  </si>
  <si>
    <t>Departamento</t>
  </si>
  <si>
    <t>Cantidad</t>
  </si>
  <si>
    <t>PrecioUnitario</t>
  </si>
  <si>
    <t>PrecioOriginal</t>
  </si>
  <si>
    <t>MontoDescuento</t>
  </si>
  <si>
    <t>DescripcionDescuento</t>
  </si>
  <si>
    <t>MontoExtendido</t>
  </si>
  <si>
    <t>AplicaImpuesto</t>
  </si>
  <si>
    <t>CodigoImpuesto</t>
  </si>
  <si>
    <t>MontoImpuesto</t>
  </si>
  <si>
    <t>MontoSinImpuesto</t>
  </si>
  <si>
    <t>DevWorkstation</t>
  </si>
  <si>
    <t>DevSiteID</t>
  </si>
  <si>
    <t>DevNroTicket</t>
  </si>
  <si>
    <t>DevFecha</t>
  </si>
  <si>
    <t>DevTerminalOrig</t>
  </si>
  <si>
    <t>DevNroTicketOrig</t>
  </si>
  <si>
    <t>DevFechaOrig</t>
  </si>
  <si>
    <t>DevTipoTransaccionOrig</t>
  </si>
  <si>
    <t>DevOperadorOrig</t>
  </si>
  <si>
    <t>CustomerReferenceNumber</t>
  </si>
  <si>
    <t>CustomerOnline</t>
  </si>
  <si>
    <t>GroupNumber</t>
  </si>
  <si>
    <t>Apellido</t>
  </si>
  <si>
    <t>Nombre</t>
  </si>
  <si>
    <t>Nacionalidad</t>
  </si>
  <si>
    <t>PaisOrigen</t>
  </si>
  <si>
    <t>Pasaporte</t>
  </si>
  <si>
    <t>Etnicidad</t>
  </si>
  <si>
    <t>Genero</t>
  </si>
  <si>
    <t>MedioViaje</t>
  </si>
  <si>
    <t>NroVuelo</t>
  </si>
  <si>
    <t>ClaseVuelo</t>
  </si>
  <si>
    <t>NombreVuelo</t>
  </si>
  <si>
    <t>DestinoVuelo</t>
  </si>
  <si>
    <t>Asiento</t>
  </si>
  <si>
    <t>PuertoSalida</t>
  </si>
  <si>
    <t>NroEmbarcacion</t>
  </si>
  <si>
    <t>NumMediosPago</t>
  </si>
  <si>
    <t>MediosPagoDetalle</t>
  </si>
  <si>
    <t>CambioDetalle</t>
  </si>
  <si>
    <t>TotalPagado</t>
  </si>
  <si>
    <t>TotalCambio</t>
  </si>
  <si>
    <t>NetoCobrado</t>
  </si>
  <si>
    <t>true</t>
  </si>
  <si>
    <t>Zacarias</t>
  </si>
  <si>
    <t>gonzalez</t>
  </si>
  <si>
    <t>pty</t>
  </si>
  <si>
    <t>WeChat Timeout-83 $164.16</t>
  </si>
  <si>
    <t>RCP_Offline_Visa-18 $164.16</t>
  </si>
  <si>
    <t>FELIPE</t>
  </si>
  <si>
    <t>DIAZ</t>
  </si>
  <si>
    <t>LIM</t>
  </si>
  <si>
    <t>Visa Offline-15 $20,523.25</t>
  </si>
  <si>
    <t>MENDEZ</t>
  </si>
  <si>
    <t>LUIS</t>
  </si>
  <si>
    <t>BRA</t>
  </si>
  <si>
    <t>RCP_Offline_Master-20 $16.00</t>
  </si>
  <si>
    <t>SERRANO</t>
  </si>
  <si>
    <t>JOEL</t>
  </si>
  <si>
    <t>PTY</t>
  </si>
  <si>
    <t>17F</t>
  </si>
  <si>
    <t>BOG</t>
  </si>
  <si>
    <t>Discover Offline-13 $1,716.58</t>
  </si>
  <si>
    <t>Amex Offline-10 $1,113.50</t>
  </si>
  <si>
    <t>Flight</t>
  </si>
  <si>
    <t>CM</t>
  </si>
  <si>
    <t>Visa Offline-15 $293,000.00</t>
  </si>
  <si>
    <t>Visa Offline-15 $195,000.00</t>
  </si>
  <si>
    <t>jose</t>
  </si>
  <si>
    <t>timoteo</t>
  </si>
  <si>
    <t>PER</t>
  </si>
  <si>
    <t>6R</t>
  </si>
  <si>
    <t>GDL</t>
  </si>
  <si>
    <t>23F</t>
  </si>
  <si>
    <t>LAX</t>
  </si>
  <si>
    <t>Visa Offline-15 $1,573.08</t>
  </si>
  <si>
    <t>CASH USD-1 $1,500.00</t>
  </si>
  <si>
    <t>CASH USD-1 $43.10</t>
  </si>
  <si>
    <t>Visa Offline-15 $98,000.00</t>
  </si>
  <si>
    <t>JUAN</t>
  </si>
  <si>
    <t>PEREZ</t>
  </si>
  <si>
    <t>LHR</t>
  </si>
  <si>
    <t>25P</t>
  </si>
  <si>
    <t>CASH USD-1 $150.00</t>
  </si>
  <si>
    <t>CASH USD-1 $1.84</t>
  </si>
  <si>
    <t>CASH USD-1 $1,067.80</t>
  </si>
  <si>
    <t>CASH USD-1 $1.03</t>
  </si>
  <si>
    <t>Visa Offline-15 $89.00</t>
  </si>
  <si>
    <t>Visa Offline-15 $97.68</t>
  </si>
  <si>
    <t>Visa Offline-15 $21.18</t>
  </si>
  <si>
    <t>Korean BC Offline-12 $8,350.00</t>
  </si>
  <si>
    <t>CASH USD-1 $89.00</t>
  </si>
  <si>
    <t>54</t>
  </si>
  <si>
    <t>662026060506405308610100185000</t>
  </si>
  <si>
    <t>2026-06-05</t>
  </si>
  <si>
    <t>2026</t>
  </si>
  <si>
    <t>6</t>
  </si>
  <si>
    <t>5</t>
  </si>
  <si>
    <t>2026-06-05 06:40:53.0000000</t>
  </si>
  <si>
    <t>2026-06-05 06:53:14.0000000</t>
  </si>
  <si>
    <t>741</t>
  </si>
  <si>
    <t>861</t>
  </si>
  <si>
    <t>1001</t>
  </si>
  <si>
    <t>10</t>
  </si>
  <si>
    <t>41</t>
  </si>
  <si>
    <t>1</t>
  </si>
  <si>
    <t>185</t>
  </si>
  <si>
    <t>44</t>
  </si>
  <si>
    <t>151.00</t>
  </si>
  <si>
    <t>164.16</t>
  </si>
  <si>
    <t>18</t>
  </si>
  <si>
    <t>4</t>
  </si>
  <si>
    <t>18246551</t>
  </si>
  <si>
    <t>26</t>
  </si>
  <si>
    <t>1.0000</t>
  </si>
  <si>
    <t>16.00</t>
  </si>
  <si>
    <t>0.00</t>
  </si>
  <si>
    <t>100500185</t>
  </si>
  <si>
    <t>0</t>
  </si>
  <si>
    <t>30</t>
  </si>
  <si>
    <t>19</t>
  </si>
  <si>
    <t>2</t>
  </si>
  <si>
    <t>9</t>
  </si>
  <si>
    <t>18422146</t>
  </si>
  <si>
    <t>3.0000</t>
  </si>
  <si>
    <t>45.00</t>
  </si>
  <si>
    <t>135.00</t>
  </si>
  <si>
    <t>13.16</t>
  </si>
  <si>
    <t>121.84</t>
  </si>
  <si>
    <t>57</t>
  </si>
  <si>
    <t>662026060507044608610100188000</t>
  </si>
  <si>
    <t>2026-06-05 07:04:46.0000000</t>
  </si>
  <si>
    <t>2026-06-05 07:09:53.0000000</t>
  </si>
  <si>
    <t>307</t>
  </si>
  <si>
    <t>188</t>
  </si>
  <si>
    <t>45</t>
  </si>
  <si>
    <t>-151.00</t>
  </si>
  <si>
    <t>-164.16</t>
  </si>
  <si>
    <t>20</t>
  </si>
  <si>
    <t>-1.0000</t>
  </si>
  <si>
    <t>-16.00</t>
  </si>
  <si>
    <t>21</t>
  </si>
  <si>
    <t>7</t>
  </si>
  <si>
    <t>-3.0000</t>
  </si>
  <si>
    <t>-135.00</t>
  </si>
  <si>
    <t>-13.16</t>
  </si>
  <si>
    <t>-121.84</t>
  </si>
  <si>
    <t>60</t>
  </si>
  <si>
    <t>662026060507173608610100191000</t>
  </si>
  <si>
    <t>2026-06-05 07:17:36.0000000</t>
  </si>
  <si>
    <t>2026-06-05 07:19:10.0000000</t>
  </si>
  <si>
    <t>94</t>
  </si>
  <si>
    <t>191</t>
  </si>
  <si>
    <t>46</t>
  </si>
  <si>
    <t>18700.00</t>
  </si>
  <si>
    <t>20523.25</t>
  </si>
  <si>
    <t>22</t>
  </si>
  <si>
    <t>17873550</t>
  </si>
  <si>
    <t>59</t>
  </si>
  <si>
    <t>900.00</t>
  </si>
  <si>
    <t>2700.00</t>
  </si>
  <si>
    <t>263.25</t>
  </si>
  <si>
    <t>2436.75</t>
  </si>
  <si>
    <t>1005001913</t>
  </si>
  <si>
    <t>79</t>
  </si>
  <si>
    <t>23</t>
  </si>
  <si>
    <t>17866798</t>
  </si>
  <si>
    <t>8.0000</t>
  </si>
  <si>
    <t>2000.00</t>
  </si>
  <si>
    <t>16000.00</t>
  </si>
  <si>
    <t>1560.00</t>
  </si>
  <si>
    <t>14440.00</t>
  </si>
  <si>
    <t>62</t>
  </si>
  <si>
    <t>662026060507253208610100193000</t>
  </si>
  <si>
    <t>2026-06-05 07:25:32.0000000</t>
  </si>
  <si>
    <t>2026-06-05 07:26:05.0000000</t>
  </si>
  <si>
    <t>33</t>
  </si>
  <si>
    <t>193</t>
  </si>
  <si>
    <t>47</t>
  </si>
  <si>
    <t>24</t>
  </si>
  <si>
    <t>18302394</t>
  </si>
  <si>
    <t>100500193</t>
  </si>
  <si>
    <t>68</t>
  </si>
  <si>
    <t>63</t>
  </si>
  <si>
    <t>662026060507314508610100194000</t>
  </si>
  <si>
    <t>2026-06-05 07:31:45.0000000</t>
  </si>
  <si>
    <t>2026-06-05 07:38:00.0000000</t>
  </si>
  <si>
    <t>375</t>
  </si>
  <si>
    <t>194</t>
  </si>
  <si>
    <t>48</t>
  </si>
  <si>
    <t>1565.50</t>
  </si>
  <si>
    <t>1716.58</t>
  </si>
  <si>
    <t>25</t>
  </si>
  <si>
    <t>13</t>
  </si>
  <si>
    <t>1000.00</t>
  </si>
  <si>
    <t>97.50</t>
  </si>
  <si>
    <t>902.50</t>
  </si>
  <si>
    <t>100500194</t>
  </si>
  <si>
    <t>64</t>
  </si>
  <si>
    <t>15</t>
  </si>
  <si>
    <t>27</t>
  </si>
  <si>
    <t>3</t>
  </si>
  <si>
    <t>17</t>
  </si>
  <si>
    <t>17843508</t>
  </si>
  <si>
    <t>2.0000</t>
  </si>
  <si>
    <t>260.00</t>
  </si>
  <si>
    <t>520.00</t>
  </si>
  <si>
    <t>50.70</t>
  </si>
  <si>
    <t>469.30</t>
  </si>
  <si>
    <t>28</t>
  </si>
  <si>
    <t>8</t>
  </si>
  <si>
    <t>18422139</t>
  </si>
  <si>
    <t>5.0000</t>
  </si>
  <si>
    <t>5.90</t>
  </si>
  <si>
    <t>29.50</t>
  </si>
  <si>
    <t>2.88</t>
  </si>
  <si>
    <t>26.62</t>
  </si>
  <si>
    <t>66</t>
  </si>
  <si>
    <t>662026060507413608610100197000</t>
  </si>
  <si>
    <t>2026-06-05 07:41:36.0000000</t>
  </si>
  <si>
    <t>2026-06-05 07:43:05.0000000</t>
  </si>
  <si>
    <t>89</t>
  </si>
  <si>
    <t>197</t>
  </si>
  <si>
    <t>49</t>
  </si>
  <si>
    <t>-1016.00</t>
  </si>
  <si>
    <t>-1113.50</t>
  </si>
  <si>
    <t>29</t>
  </si>
  <si>
    <t>-1000.00</t>
  </si>
  <si>
    <t>-97.50</t>
  </si>
  <si>
    <t>-902.50</t>
  </si>
  <si>
    <t>1113.50</t>
  </si>
  <si>
    <t>662026060209434908610100156000</t>
  </si>
  <si>
    <t>2026-06-02</t>
  </si>
  <si>
    <t>2026-06-02 09:43:49.0000000</t>
  </si>
  <si>
    <t>2026-06-02 09:45:31.0000000</t>
  </si>
  <si>
    <t>102</t>
  </si>
  <si>
    <t>156</t>
  </si>
  <si>
    <t>37</t>
  </si>
  <si>
    <t>293000.00</t>
  </si>
  <si>
    <t>18077308</t>
  </si>
  <si>
    <t>195000.00</t>
  </si>
  <si>
    <t>100200156</t>
  </si>
  <si>
    <t>414</t>
  </si>
  <si>
    <t>17874342</t>
  </si>
  <si>
    <t>98000.00</t>
  </si>
  <si>
    <t>662026060212573708610100160000</t>
  </si>
  <si>
    <t>2026-06-02 12:57:37.0000000</t>
  </si>
  <si>
    <t>2026-06-02 12:59:28.0000000</t>
  </si>
  <si>
    <t>111</t>
  </si>
  <si>
    <t>160</t>
  </si>
  <si>
    <t>38</t>
  </si>
  <si>
    <t>12</t>
  </si>
  <si>
    <t>100200159</t>
  </si>
  <si>
    <t>662026060213163108610100163000</t>
  </si>
  <si>
    <t>2026-06-02 13:16:31.0000000</t>
  </si>
  <si>
    <t>2026-06-02 13:18:23.0000000</t>
  </si>
  <si>
    <t>112</t>
  </si>
  <si>
    <t>163</t>
  </si>
  <si>
    <t>39</t>
  </si>
  <si>
    <t>1573.08</t>
  </si>
  <si>
    <t>24.36</t>
  </si>
  <si>
    <t>73.08</t>
  </si>
  <si>
    <t>100200163</t>
  </si>
  <si>
    <t>7087</t>
  </si>
  <si>
    <t>18491845</t>
  </si>
  <si>
    <t>6.0000</t>
  </si>
  <si>
    <t>250.00</t>
  </si>
  <si>
    <t>1500.00</t>
  </si>
  <si>
    <t>31</t>
  </si>
  <si>
    <t>662026060213253208610100166000</t>
  </si>
  <si>
    <t>2026-06-02 13:25:32.0000000</t>
  </si>
  <si>
    <t>2026-06-02 13:27:45.0000000</t>
  </si>
  <si>
    <t>133</t>
  </si>
  <si>
    <t>166</t>
  </si>
  <si>
    <t>40</t>
  </si>
  <si>
    <t>1336.00</t>
  </si>
  <si>
    <t>1456.90</t>
  </si>
  <si>
    <t>18303940</t>
  </si>
  <si>
    <t>155.00</t>
  </si>
  <si>
    <t>1240.00</t>
  </si>
  <si>
    <t>120.90</t>
  </si>
  <si>
    <t>1119.10</t>
  </si>
  <si>
    <t>100200166</t>
  </si>
  <si>
    <t>43.10</t>
  </si>
  <si>
    <t>1543.10</t>
  </si>
  <si>
    <t>11</t>
  </si>
  <si>
    <t>18302554</t>
  </si>
  <si>
    <t>32.00</t>
  </si>
  <si>
    <t>96.00</t>
  </si>
  <si>
    <t>662026060214482908610100172000</t>
  </si>
  <si>
    <t>2026-06-02 14:48:29.0000000</t>
  </si>
  <si>
    <t>2026-06-02 14:53:54.0000000</t>
  </si>
  <si>
    <t>325</t>
  </si>
  <si>
    <t>172</t>
  </si>
  <si>
    <t>-98000.00</t>
  </si>
  <si>
    <t>662026060215065308610100175000</t>
  </si>
  <si>
    <t>2026-06-02 15:06:53.0000000</t>
  </si>
  <si>
    <t>2026-06-02 15:08:06.0000000</t>
  </si>
  <si>
    <t>73</t>
  </si>
  <si>
    <t>175</t>
  </si>
  <si>
    <t>42</t>
  </si>
  <si>
    <t>148.16</t>
  </si>
  <si>
    <t>14</t>
  </si>
  <si>
    <t>18304121</t>
  </si>
  <si>
    <t>30.00</t>
  </si>
  <si>
    <t>15.00</t>
  </si>
  <si>
    <t>30000520</t>
  </si>
  <si>
    <t>150.00</t>
  </si>
  <si>
    <t>1.84</t>
  </si>
  <si>
    <t>151.84</t>
  </si>
  <si>
    <t>662026060215244008610100178000</t>
  </si>
  <si>
    <t>2026-06-02 15:24:40.0000000</t>
  </si>
  <si>
    <t>2026-06-02 15:29:33.0000000</t>
  </si>
  <si>
    <t>293</t>
  </si>
  <si>
    <t>178</t>
  </si>
  <si>
    <t>43</t>
  </si>
  <si>
    <t>972.00</t>
  </si>
  <si>
    <t>1066.77</t>
  </si>
  <si>
    <t>18304138</t>
  </si>
  <si>
    <t>4.0000</t>
  </si>
  <si>
    <t>39.00</t>
  </si>
  <si>
    <t>156.00</t>
  </si>
  <si>
    <t>15.21</t>
  </si>
  <si>
    <t>140.79</t>
  </si>
  <si>
    <t>100200178</t>
  </si>
  <si>
    <t>1067.80</t>
  </si>
  <si>
    <t>1.03</t>
  </si>
  <si>
    <t>1068.83</t>
  </si>
  <si>
    <t>16</t>
  </si>
  <si>
    <t>18307047</t>
  </si>
  <si>
    <t>81</t>
  </si>
  <si>
    <t>8.00</t>
  </si>
  <si>
    <t>24.00</t>
  </si>
  <si>
    <t>2.34</t>
  </si>
  <si>
    <t>21.66</t>
  </si>
  <si>
    <t>18318616</t>
  </si>
  <si>
    <t>99.00</t>
  </si>
  <si>
    <t>792.00</t>
  </si>
  <si>
    <t>77.22</t>
  </si>
  <si>
    <t>714.78</t>
  </si>
  <si>
    <t>662026052612151508610100147000</t>
  </si>
  <si>
    <t>2026-05-26</t>
  </si>
  <si>
    <t>2026-05-26 12:15:15.0000000</t>
  </si>
  <si>
    <t>2026-05-26 12:18:13.0000000</t>
  </si>
  <si>
    <t>147</t>
  </si>
  <si>
    <t>35</t>
  </si>
  <si>
    <t>89.00</t>
  </si>
  <si>
    <t>18456714</t>
  </si>
  <si>
    <t>67</t>
  </si>
  <si>
    <t>102600147</t>
  </si>
  <si>
    <t>662026052612191008610100148000</t>
  </si>
  <si>
    <t>2026-05-26 12:19:10.0000000</t>
  </si>
  <si>
    <t>2026-05-26 12:19:57.0000000</t>
  </si>
  <si>
    <t>148</t>
  </si>
  <si>
    <t>36</t>
  </si>
  <si>
    <t>97.68</t>
  </si>
  <si>
    <t>8.68</t>
  </si>
  <si>
    <t>80.32</t>
  </si>
  <si>
    <t>102600148</t>
  </si>
  <si>
    <t>662026052519101008610100144000</t>
  </si>
  <si>
    <t>2026-05-25</t>
  </si>
  <si>
    <t>2026-05-25 19:10:10.0000000</t>
  </si>
  <si>
    <t>2026-05-26 12:13:23.0000000</t>
  </si>
  <si>
    <t>61393</t>
  </si>
  <si>
    <t>881001</t>
  </si>
  <si>
    <t>144</t>
  </si>
  <si>
    <t>34</t>
  </si>
  <si>
    <t>19.30</t>
  </si>
  <si>
    <t>21.18</t>
  </si>
  <si>
    <t>10000024</t>
  </si>
  <si>
    <t>19.50</t>
  </si>
  <si>
    <t>0.20</t>
  </si>
  <si>
    <t>1.88</t>
  </si>
  <si>
    <t>17.42</t>
  </si>
  <si>
    <t>102500144</t>
  </si>
  <si>
    <t>662026052208582808610100139000</t>
  </si>
  <si>
    <t>2026-05-22</t>
  </si>
  <si>
    <t>2026-05-22 08:58:28.0000000</t>
  </si>
  <si>
    <t>2026-05-22 08:58:57.0000000</t>
  </si>
  <si>
    <t>139</t>
  </si>
  <si>
    <t>8350.00</t>
  </si>
  <si>
    <t>10000743</t>
  </si>
  <si>
    <t>102200139</t>
  </si>
  <si>
    <t>65</t>
  </si>
  <si>
    <t>662026052100112808610030101000</t>
  </si>
  <si>
    <t>2026-05-20</t>
  </si>
  <si>
    <t>2026-05-21 00:11:28.0000000</t>
  </si>
  <si>
    <t>2026-05-21 00:13:03.0000000</t>
  </si>
  <si>
    <t>95</t>
  </si>
  <si>
    <t>101</t>
  </si>
  <si>
    <t>10308161</t>
  </si>
  <si>
    <t>32100101</t>
  </si>
  <si>
    <t>case when SiteID='861' then '3' 
			when SiteID='888' then '4' end</t>
  </si>
  <si>
    <t>o si es venta 1 si es una devolucion</t>
  </si>
  <si>
    <t>esto debe estar null cuando se agrega la linea, una vez se cree el docuemnto en sap aquí debe ir el docnum de sap b1</t>
  </si>
  <si>
    <t>SiteID &amp; PosLoc &amp; CashDrawerID &amp;SecuenciaTransaccion</t>
  </si>
  <si>
    <t>lleva -1 si es una venta, si es devolucion entoces aquí va el numero de SecuenciaTransaccion de la factura a la cual pertenece esta devolucion.</t>
  </si>
  <si>
    <t>de igual forma que el campo anterior lleva 0 si es una venta y el CashDrawerID si es una devolucion.</t>
  </si>
  <si>
    <t>USE [POS]</t>
  </si>
  <si>
    <t>GO</t>
  </si>
  <si>
    <t>/****** Object:  View [dbo].[vw_POS_VentaItems]    Script Date: 6/6/2026 3:16:03 PM ******/</t>
  </si>
  <si>
    <t>SET ANSI_NULLS ON</t>
  </si>
  <si>
    <t>SET QUOTED_IDENTIFIER ON</t>
  </si>
  <si>
    <t>-- ============================================================</t>
  </si>
  <si>
    <t>-- SECCIÓN 4 — ALTER VIEW vw_POS_VentaItems</t>
  </si>
  <si>
    <t>-- Agrega columna PosLoc en la sección TIENDA Y TERMINAL,</t>
  </si>
  <si>
    <t>ALTER   VIEW [dbo].[vw_POS_VentaItems]</t>
  </si>
  <si>
    <t>AS</t>
  </si>
  <si>
    <t>-- ------------------------------------------------------------</t>
  </si>
  <si>
    <t>-- CTE: agrega medios de pago por transaccion</t>
  </si>
  <si>
    <t>WITH TendersPorTransaccion AS (</t>
  </si>
  <si>
    <t xml:space="preserve">    SELECT</t>
  </si>
  <si>
    <t xml:space="preserve">        TransactionID,</t>
  </si>
  <si>
    <t xml:space="preserve">        STRING_AGG(</t>
  </si>
  <si>
    <t xml:space="preserve">            CASE WHEN LineType = 'TenderMerch'</t>
  </si>
  <si>
    <t xml:space="preserve">                 THEN TenderID + ' $' + FORMAT(Amount, 'N2', 'en-US')</t>
  </si>
  <si>
    <t xml:space="preserve">                 ELSE NULL END,</t>
  </si>
  <si>
    <t xml:space="preserve">            ' | '</t>
  </si>
  <si>
    <t xml:space="preserve">        ) WITHIN GROUP (ORDER BY LineItemSequence)   AS MediosPagoDetalle,</t>
  </si>
  <si>
    <t xml:space="preserve">            CASE WHEN LineType = 'TenderChange'</t>
  </si>
  <si>
    <t xml:space="preserve">                 THEN TenderID + ' $' + FORMAT(ABS(Amount), 'N2', 'en-US')</t>
  </si>
  <si>
    <t xml:space="preserve">        ) WITHIN GROUP (ORDER BY LineItemSequence)   AS CambioDetalle,</t>
  </si>
  <si>
    <t xml:space="preserve">        COUNT(CASE WHEN LineType = 'TenderMerch'  THEN 1 END)                 AS NumMediosPago,</t>
  </si>
  <si>
    <t xml:space="preserve">        SUM(CASE WHEN LineType = 'TenderMerch'  THEN Amount      ELSE 0 END)  AS TotalPagado,</t>
  </si>
  <si>
    <t xml:space="preserve">        SUM(CASE WHEN LineType = 'TenderChange' THEN ABS(Amount) ELSE 0 END)  AS TotalCambio,</t>
  </si>
  <si>
    <t xml:space="preserve">        SUM(Amount)                                                             AS NetoCobrado</t>
  </si>
  <si>
    <t xml:space="preserve">    FROM [dbo].[POS_TransactionTender]</t>
  </si>
  <si>
    <t xml:space="preserve">    GROUP BY TransactionID</t>
  </si>
  <si>
    <t>),</t>
  </si>
  <si>
    <t>AutorizacionDevolucion AS (</t>
  </si>
  <si>
    <t xml:space="preserve">        OrigTrxOperatorID,</t>
  </si>
  <si>
    <t xml:space="preserve">        OrigTrxClientID         AS DevTerminalOrig,</t>
  </si>
  <si>
    <t xml:space="preserve">        OrigTrxUserDefNumber    AS DevNroTicketOrig,</t>
  </si>
  <si>
    <t xml:space="preserve">        OrigTrxBusinessDate     AS DevFechaOrig,</t>
  </si>
  <si>
    <t xml:space="preserve">        UDTDescription          AS DevTipoTransaccionOrig</t>
  </si>
  <si>
    <t xml:space="preserve">    FROM [dbo].[POS_TransactionAuthorizeReturn]</t>
  </si>
  <si>
    <t>)</t>
  </si>
  <si>
    <t>SELECT</t>
  </si>
  <si>
    <t xml:space="preserve">    -- ----------------------------------------------------------</t>
  </si>
  <si>
    <t xml:space="preserve">    -- IDENTIFICACION DE LA TRANSACCION</t>
  </si>
  <si>
    <t xml:space="preserve">    t.TransactionID,</t>
  </si>
  <si>
    <t xml:space="preserve">    t.TxnBarcode,</t>
  </si>
  <si>
    <t xml:space="preserve">    t.FileName                              AS ArchivoOrigen,</t>
  </si>
  <si>
    <t xml:space="preserve">    -- FECHA Y TIEMPO</t>
  </si>
  <si>
    <t xml:space="preserve">    t.BusinessDayDate,</t>
  </si>
  <si>
    <t xml:space="preserve">    YEAR(t.BusinessDayDate)                 AS Anio,</t>
  </si>
  <si>
    <t xml:space="preserve">    MONTH(t.BusinessDayDate)                AS Mes,</t>
  </si>
  <si>
    <t xml:space="preserve">    DAY(t.BusinessDayDate)                  AS Dia,</t>
  </si>
  <si>
    <t xml:space="preserve">    t.BeginDateTime,</t>
  </si>
  <si>
    <t xml:space="preserve">    t.EndDateTime,</t>
  </si>
  <si>
    <t xml:space="preserve">    DATEDIFF(SECOND,</t>
  </si>
  <si>
    <t xml:space="preserve">             t.BeginDateTime,</t>
  </si>
  <si>
    <t xml:space="preserve">             t.EndDateTime)                 AS DuracionSeg,</t>
  </si>
  <si>
    <t xml:space="preserve">    t.HeaderTimestamp,</t>
  </si>
  <si>
    <t xml:space="preserve">    -- TIENDA Y TERMINAL</t>
  </si>
  <si>
    <t xml:space="preserve">    t.SiteID,</t>
  </si>
  <si>
    <t xml:space="preserve">    t.RetailStoreID,</t>
  </si>
  <si>
    <t xml:space="preserve">    t.WorkstationID,</t>
  </si>
  <si>
    <t xml:space="preserve">    t.WorkstationDesc,</t>
  </si>
  <si>
    <t xml:space="preserve">    t.PosLoc,                                                        -- primer segmento de WorkstationDesc (split por "-")</t>
  </si>
  <si>
    <t xml:space="preserve">    t.CashDrawerID,</t>
  </si>
  <si>
    <t xml:space="preserve">    t.OrganizationID,</t>
  </si>
  <si>
    <t xml:space="preserve">    t.DivisionID,</t>
  </si>
  <si>
    <t xml:space="preserve">    t.ApplicationID,</t>
  </si>
  <si>
    <t xml:space="preserve">    t.ReportGroup,</t>
  </si>
  <si>
    <t xml:space="preserve">    t.WN_Version,</t>
  </si>
  <si>
    <t xml:space="preserve">    -- TIPO DE TRANSACCION</t>
  </si>
  <si>
    <t xml:space="preserve">    t.UDTID                                 AS TipoTransaccion,</t>
  </si>
  <si>
    <t xml:space="preserve">    t.UDTDescription                        AS DescTipoTransaccion,</t>
  </si>
  <si>
    <t xml:space="preserve">    t.TransactionViewType,</t>
  </si>
  <si>
    <t xml:space="preserve">    t.TransactionTypeDesc,</t>
  </si>
  <si>
    <t xml:space="preserve">    t.TransType,</t>
  </si>
  <si>
    <t xml:space="preserve">    t.OTC_Flag,</t>
  </si>
  <si>
    <t xml:space="preserve">    -- OPERADOR Y NUMERACION</t>
  </si>
  <si>
    <t xml:space="preserve">    t.OperatorID,</t>
  </si>
  <si>
    <t xml:space="preserve">    t.TillSupervisor,</t>
  </si>
  <si>
    <t xml:space="preserve">    t.SequenceNumber                        AS SecuenciaTransaccion,</t>
  </si>
  <si>
    <t xml:space="preserve">    t.UserDefinedSequenceNumber             AS NroTicket,</t>
  </si>
  <si>
    <t xml:space="preserve">    -- TOTALES DE TRANSACCION</t>
  </si>
  <si>
    <t xml:space="preserve">    t.TransactionNetAmount,</t>
  </si>
  <si>
    <t xml:space="preserve">    t.TransactionGrandAmount,</t>
  </si>
  <si>
    <t xml:space="preserve">    -- ITEM</t>
  </si>
  <si>
    <t xml:space="preserve">    i.ItemLineID,</t>
  </si>
  <si>
    <t xml:space="preserve">    i.LineItemSequence,</t>
  </si>
  <si>
    <t xml:space="preserve">    i.XMLSequence,</t>
  </si>
  <si>
    <t xml:space="preserve">    i.SaleLineNumber,</t>
  </si>
  <si>
    <t xml:space="preserve">    i.LineNumber,</t>
  </si>
  <si>
    <t xml:space="preserve">    i.ActionCode                            AS ItemAccion,</t>
  </si>
  <si>
    <t xml:space="preserve">    i.ItemType,</t>
  </si>
  <si>
    <t xml:space="preserve">    i.POSItemID,</t>
  </si>
  <si>
    <t xml:space="preserve">    i.ItemKey                               AS CodigoBarras,</t>
  </si>
  <si>
    <t xml:space="preserve">    i.Description                           AS Descripcion,</t>
  </si>
  <si>
    <t xml:space="preserve">    i.MerchandiseHierarchy                  AS Departamento,</t>
  </si>
  <si>
    <t xml:space="preserve">    i.InventoryLocation,</t>
  </si>
  <si>
    <t xml:space="preserve">    i.DutyType,</t>
  </si>
  <si>
    <t xml:space="preserve">    -- Precios y cantidades</t>
  </si>
  <si>
    <t xml:space="preserve">    i.Quantity                              AS Cantidad,</t>
  </si>
  <si>
    <t xml:space="preserve">    i.ActualSalesUnitPrice                  AS PrecioUnitario,</t>
  </si>
  <si>
    <t xml:space="preserve">    i.PreviousPrice                         AS PrecioOriginal,</t>
  </si>
  <si>
    <t xml:space="preserve">    i.DiscountAmount                        AS MontoDescuento,</t>
  </si>
  <si>
    <t xml:space="preserve">    i.DiscountDescription                   AS DescripcionDescuento,</t>
  </si>
  <si>
    <t xml:space="preserve">    i.DiscountModifierID,</t>
  </si>
  <si>
    <t xml:space="preserve">    i.ExtendedAmount                        AS MontoExtendido,</t>
  </si>
  <si>
    <t xml:space="preserve">    -- Impuesto</t>
  </si>
  <si>
    <t xml:space="preserve">    i.TaxFlag                               AS AplicaImpuesto,</t>
  </si>
  <si>
    <t xml:space="preserve">    i.TaxCode                               AS CodigoImpuesto,</t>
  </si>
  <si>
    <t xml:space="preserve">    i.TaxAmount                             AS MontoImpuesto,</t>
  </si>
  <si>
    <t xml:space="preserve">    -- Monto neto del item sin impuesto</t>
  </si>
  <si>
    <t xml:space="preserve">    i.ExtendedAmount - ISNULL(i.TaxAmount, 0)  AS MontoSinImpuesto,</t>
  </si>
  <si>
    <t xml:space="preserve">    -- DATOS DE DEVOLUCION</t>
  </si>
  <si>
    <t xml:space="preserve">    i.OrigWorkstationNmbr                   AS DevWorkstation,</t>
  </si>
  <si>
    <t xml:space="preserve">    i.OrigTrxSiteID                         AS DevSiteID,</t>
  </si>
  <si>
    <t xml:space="preserve">    i.OrigTrxUserDefNumber                  AS DevNroTicket,</t>
  </si>
  <si>
    <t xml:space="preserve">    i.OrigDate                              AS DevFecha,</t>
  </si>
  <si>
    <t xml:space="preserve">    ar.DevTerminalOrig,</t>
  </si>
  <si>
    <t xml:space="preserve">    ar.DevNroTicketOrig,</t>
  </si>
  <si>
    <t xml:space="preserve">    ar.DevFechaOrig,</t>
  </si>
  <si>
    <t xml:space="preserve">    ar.DevTipoTransaccionOrig,</t>
  </si>
  <si>
    <t xml:space="preserve">    ar.OrigTrxOperatorID                    AS DevOperadorOrig,</t>
  </si>
  <si>
    <t xml:space="preserve">    -- CLIENTE / PASAJERO</t>
  </si>
  <si>
    <t xml:space="preserve">    c.CustomerReferenceNumber,</t>
  </si>
  <si>
    <t xml:space="preserve">    c.CustomerOnline,</t>
  </si>
  <si>
    <t xml:space="preserve">    c.GroupNumber,</t>
  </si>
  <si>
    <t xml:space="preserve">    c.Surname                               AS Apellido,</t>
  </si>
  <si>
    <t xml:space="preserve">    c.FirstName                             AS Nombre,</t>
  </si>
  <si>
    <t xml:space="preserve">    c.NationalityAlphaCode                  AS Nacionalidad,</t>
  </si>
  <si>
    <t xml:space="preserve">    c.PAX_COUNTRY_ORIGIN                    AS PaisOrigen,</t>
  </si>
  <si>
    <t xml:space="preserve">    c.PassportNumber                        AS Pasaporte,</t>
  </si>
  <si>
    <t xml:space="preserve">    c.PAX_ETHN                              AS Etnicidad,</t>
  </si>
  <si>
    <t xml:space="preserve">    c.PAXGender                             AS Genero,</t>
  </si>
  <si>
    <t xml:space="preserve">    c.PAX_TRAVEL_BY                         AS MedioViaje,</t>
  </si>
  <si>
    <t xml:space="preserve">    c.PAX_DEP_FLT_NUM                       AS NroVuelo,</t>
  </si>
  <si>
    <t xml:space="preserve">    c.PAX_DEP_FLT_CLS                       AS ClaseVuelo,</t>
  </si>
  <si>
    <t xml:space="preserve">    c.PAX_DEP_FLT_NAME                      AS NombreVuelo,</t>
  </si>
  <si>
    <t xml:space="preserve">    c.PAX_DEP_FLT_DEST                      AS DestinoVuelo,</t>
  </si>
  <si>
    <t xml:space="preserve">    c.PAX_DEP_FLT_SEAT                      AS Asiento,</t>
  </si>
  <si>
    <t xml:space="preserve">    c.PAX_PORT_OF_DEPARTURE                 AS PuertoSalida,</t>
  </si>
  <si>
    <t xml:space="preserve">    c.PAX_VESSEL_NO                         AS NroEmbarcacion,</t>
  </si>
  <si>
    <t xml:space="preserve">    -- MEDIOS DE PAGO (agregados)</t>
  </si>
  <si>
    <t xml:space="preserve">    td.NumMediosPago,</t>
  </si>
  <si>
    <t xml:space="preserve">    td.MediosPagoDetalle,</t>
  </si>
  <si>
    <t xml:space="preserve">    td.CambioDetalle,</t>
  </si>
  <si>
    <t xml:space="preserve">    td.TotalPagado,</t>
  </si>
  <si>
    <t xml:space="preserve">    td.TotalCambio,</t>
  </si>
  <si>
    <t xml:space="preserve">    td.NetoCobrado</t>
  </si>
  <si>
    <t>FROM       [dbo].[POS_Transaction]           t</t>
  </si>
  <si>
    <t>INNER JOIN [dbo].[POS_TransactionItem]       i   ON  t.TransactionID = i.TransactionID</t>
  </si>
  <si>
    <t>LEFT  JOIN [dbo].[POS_TransactionCustomer]   c   ON  t.TransactionID = c.TransactionID</t>
  </si>
  <si>
    <t>LEFT  JOIN TendersPorTransaccion             td  ON  t.TransactionID = td.TransactionID</t>
  </si>
  <si>
    <t>LEFT  JOIN AutorizacionDevolucion            ar  ON  t.TransactionID = ar.TransactionID;</t>
  </si>
  <si>
    <t>date_created</t>
  </si>
  <si>
    <t>error_message</t>
  </si>
  <si>
    <t xml:space="preserve">05-50069          </t>
  </si>
  <si>
    <t>12174599 KIT KAT PHONE BOX TIN 20X414G</t>
  </si>
  <si>
    <t>Insufficient Inventory</t>
  </si>
  <si>
    <t xml:space="preserve">05-50070          </t>
  </si>
  <si>
    <t>12191513 KIT KAT MINIS BAG 24X250G</t>
  </si>
  <si>
    <t>WHSCODE</t>
  </si>
  <si>
    <t>CARCODE</t>
  </si>
  <si>
    <t>NUMSTORE</t>
  </si>
  <si>
    <t>TIENDA</t>
  </si>
  <si>
    <t>C00001</t>
  </si>
  <si>
    <t>TIENDA2</t>
  </si>
  <si>
    <t>C00003</t>
  </si>
  <si>
    <t>LOCAL1</t>
  </si>
  <si>
    <t>C00013</t>
  </si>
  <si>
    <t>LOCAL3</t>
  </si>
  <si>
    <t>C00014</t>
  </si>
  <si>
    <t>LOCAL2</t>
  </si>
  <si>
    <t>C00015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</si>
</sst>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7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692E-AB0E-49D7-86B7-E2246B5D5E9A}">
  <dimension ref="A1:AS69"/>
  <sheetViews>
    <sheetView workbookViewId="0">
      <selection activeCell="B14" sqref="B14"/>
    </sheetView>
  </sheetViews>
  <sheetFormatPr baseColWidth="10" defaultRowHeight="15" x14ac:dyDescent="0.25"/>
  <cols>
    <col min="3" max="3" width="81.570312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1</v>
      </c>
      <c r="C2" t="s">
        <v>45</v>
      </c>
      <c r="D2" t="s">
        <v>46</v>
      </c>
      <c r="E2" t="s">
        <v>47</v>
      </c>
      <c r="F2">
        <v>136</v>
      </c>
      <c r="G2" s="1">
        <v>46161</v>
      </c>
      <c r="H2" s="2">
        <v>46164.373194444444</v>
      </c>
      <c r="I2" s="2">
        <v>46164.373194444444</v>
      </c>
      <c r="L2" t="s">
        <v>48</v>
      </c>
      <c r="M2" t="s">
        <v>49</v>
      </c>
      <c r="N2" t="s">
        <v>50</v>
      </c>
      <c r="O2">
        <v>41</v>
      </c>
      <c r="P2">
        <v>861</v>
      </c>
      <c r="S2" t="s">
        <v>51</v>
      </c>
      <c r="T2">
        <v>861</v>
      </c>
      <c r="U2">
        <v>1</v>
      </c>
      <c r="V2">
        <v>1</v>
      </c>
      <c r="W2">
        <v>0</v>
      </c>
      <c r="X2">
        <v>0</v>
      </c>
      <c r="Y2">
        <v>0</v>
      </c>
      <c r="Z2">
        <v>10</v>
      </c>
      <c r="AA2">
        <v>6.6202605220857205E+29</v>
      </c>
      <c r="AB2" s="2">
        <v>46175.578469942127</v>
      </c>
      <c r="AC2" t="s">
        <v>52</v>
      </c>
      <c r="AD2" t="s">
        <v>51</v>
      </c>
      <c r="AE2" t="s">
        <v>53</v>
      </c>
      <c r="AF2" t="s">
        <v>54</v>
      </c>
      <c r="AH2" s="2">
        <v>46164.373194444444</v>
      </c>
      <c r="AI2" t="s">
        <v>55</v>
      </c>
      <c r="AJ2" t="s">
        <v>56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57</v>
      </c>
      <c r="AQ2" t="s">
        <v>57</v>
      </c>
      <c r="AR2">
        <v>1001</v>
      </c>
      <c r="AS2" t="s">
        <v>58</v>
      </c>
    </row>
    <row r="3" spans="1:45" x14ac:dyDescent="0.25">
      <c r="A3">
        <v>2</v>
      </c>
      <c r="B3">
        <v>2</v>
      </c>
      <c r="C3" t="s">
        <v>59</v>
      </c>
      <c r="D3" t="s">
        <v>46</v>
      </c>
      <c r="E3" t="s">
        <v>47</v>
      </c>
      <c r="F3">
        <v>137</v>
      </c>
      <c r="G3" s="1">
        <v>46161</v>
      </c>
      <c r="H3" s="2">
        <v>46164.373217592591</v>
      </c>
      <c r="I3" s="2">
        <v>46164.373229166667</v>
      </c>
      <c r="L3" t="s">
        <v>48</v>
      </c>
      <c r="M3" t="s">
        <v>49</v>
      </c>
      <c r="N3" t="s">
        <v>50</v>
      </c>
      <c r="O3">
        <v>41</v>
      </c>
      <c r="P3">
        <v>861</v>
      </c>
      <c r="S3" t="s">
        <v>51</v>
      </c>
      <c r="T3">
        <v>861</v>
      </c>
      <c r="U3">
        <v>1</v>
      </c>
      <c r="V3">
        <v>1</v>
      </c>
      <c r="W3">
        <v>0</v>
      </c>
      <c r="X3">
        <v>0</v>
      </c>
      <c r="Y3">
        <v>0</v>
      </c>
      <c r="Z3">
        <v>10</v>
      </c>
      <c r="AB3" s="2">
        <v>46175.578470138891</v>
      </c>
      <c r="AC3" t="s">
        <v>52</v>
      </c>
      <c r="AD3" t="s">
        <v>51</v>
      </c>
      <c r="AE3" t="s">
        <v>53</v>
      </c>
      <c r="AF3" t="s">
        <v>54</v>
      </c>
      <c r="AH3" s="2">
        <v>46164.373217592591</v>
      </c>
      <c r="AI3" t="s">
        <v>60</v>
      </c>
      <c r="AJ3" t="s">
        <v>61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57</v>
      </c>
      <c r="AQ3" t="s">
        <v>57</v>
      </c>
      <c r="AR3">
        <v>1001</v>
      </c>
      <c r="AS3" t="s">
        <v>58</v>
      </c>
    </row>
    <row r="4" spans="1:45" x14ac:dyDescent="0.25">
      <c r="A4">
        <v>3</v>
      </c>
      <c r="B4">
        <v>3</v>
      </c>
      <c r="C4" t="s">
        <v>62</v>
      </c>
      <c r="D4" t="s">
        <v>46</v>
      </c>
      <c r="E4" t="s">
        <v>47</v>
      </c>
      <c r="F4">
        <v>138</v>
      </c>
      <c r="G4" s="1">
        <v>46164</v>
      </c>
      <c r="H4" s="2">
        <v>46164.373310185183</v>
      </c>
      <c r="I4" s="2">
        <v>46164.373310185183</v>
      </c>
      <c r="L4" t="s">
        <v>48</v>
      </c>
      <c r="M4" t="s">
        <v>49</v>
      </c>
      <c r="N4" t="s">
        <v>50</v>
      </c>
      <c r="O4">
        <v>41</v>
      </c>
      <c r="P4">
        <v>861</v>
      </c>
      <c r="S4" t="s">
        <v>51</v>
      </c>
      <c r="T4">
        <v>861</v>
      </c>
      <c r="U4">
        <v>1</v>
      </c>
      <c r="V4">
        <v>1</v>
      </c>
      <c r="W4">
        <v>0</v>
      </c>
      <c r="X4">
        <v>0</v>
      </c>
      <c r="Y4">
        <v>0</v>
      </c>
      <c r="Z4">
        <v>10</v>
      </c>
      <c r="AA4">
        <v>6.6202605220857303E+29</v>
      </c>
      <c r="AB4" s="2">
        <v>46175.578470219909</v>
      </c>
      <c r="AC4" t="s">
        <v>52</v>
      </c>
      <c r="AD4" t="s">
        <v>51</v>
      </c>
      <c r="AE4" t="s">
        <v>53</v>
      </c>
      <c r="AF4" t="s">
        <v>54</v>
      </c>
      <c r="AH4" s="2">
        <v>46164.373310185183</v>
      </c>
      <c r="AI4" t="s">
        <v>63</v>
      </c>
      <c r="AJ4" t="s">
        <v>64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57</v>
      </c>
      <c r="AQ4" t="s">
        <v>57</v>
      </c>
      <c r="AR4">
        <v>1001</v>
      </c>
      <c r="AS4" t="s">
        <v>58</v>
      </c>
    </row>
    <row r="5" spans="1:45" x14ac:dyDescent="0.25">
      <c r="A5">
        <v>4</v>
      </c>
      <c r="B5">
        <v>4</v>
      </c>
      <c r="C5" t="s">
        <v>65</v>
      </c>
      <c r="D5" t="s">
        <v>46</v>
      </c>
      <c r="E5" t="s">
        <v>47</v>
      </c>
      <c r="F5">
        <v>139</v>
      </c>
      <c r="G5" s="1">
        <v>46164</v>
      </c>
      <c r="H5" s="2">
        <v>46164.373935185184</v>
      </c>
      <c r="I5" s="2">
        <v>46164.37427083333</v>
      </c>
      <c r="J5" t="s">
        <v>66</v>
      </c>
      <c r="K5" t="s">
        <v>67</v>
      </c>
      <c r="L5" t="s">
        <v>48</v>
      </c>
      <c r="M5" t="s">
        <v>49</v>
      </c>
      <c r="N5" t="s">
        <v>50</v>
      </c>
      <c r="O5">
        <v>41</v>
      </c>
      <c r="P5">
        <v>861</v>
      </c>
      <c r="Q5" t="s">
        <v>68</v>
      </c>
      <c r="R5" t="s">
        <v>68</v>
      </c>
      <c r="S5" t="s">
        <v>69</v>
      </c>
      <c r="T5">
        <v>861</v>
      </c>
      <c r="U5">
        <v>1</v>
      </c>
      <c r="V5">
        <v>1</v>
      </c>
      <c r="W5">
        <v>33</v>
      </c>
      <c r="X5">
        <v>8350</v>
      </c>
      <c r="Y5">
        <v>8350</v>
      </c>
      <c r="Z5">
        <v>10</v>
      </c>
      <c r="AA5">
        <v>6.6202605220858204E+29</v>
      </c>
      <c r="AB5" s="2">
        <v>46175.578470451386</v>
      </c>
      <c r="AC5" t="s">
        <v>70</v>
      </c>
      <c r="AD5" t="s">
        <v>71</v>
      </c>
      <c r="AE5" t="s">
        <v>53</v>
      </c>
      <c r="AF5" t="s">
        <v>54</v>
      </c>
      <c r="AH5" s="2">
        <v>46164.373935185184</v>
      </c>
      <c r="AI5" t="s">
        <v>72</v>
      </c>
      <c r="AJ5" t="s">
        <v>73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57</v>
      </c>
      <c r="AQ5" t="s">
        <v>57</v>
      </c>
      <c r="AR5">
        <v>1001</v>
      </c>
      <c r="AS5" t="s">
        <v>74</v>
      </c>
    </row>
    <row r="6" spans="1:45" x14ac:dyDescent="0.25">
      <c r="A6">
        <v>5</v>
      </c>
      <c r="B6">
        <v>5</v>
      </c>
      <c r="C6" t="s">
        <v>75</v>
      </c>
      <c r="D6" t="s">
        <v>46</v>
      </c>
      <c r="E6" t="s">
        <v>47</v>
      </c>
      <c r="F6">
        <v>140</v>
      </c>
      <c r="G6" s="1">
        <v>46164</v>
      </c>
      <c r="H6" s="2">
        <v>46164.374363425923</v>
      </c>
      <c r="I6" s="2">
        <v>46164.374652777777</v>
      </c>
      <c r="L6" t="s">
        <v>48</v>
      </c>
      <c r="M6" t="s">
        <v>49</v>
      </c>
      <c r="N6" t="s">
        <v>50</v>
      </c>
      <c r="O6">
        <v>41</v>
      </c>
      <c r="P6">
        <v>861</v>
      </c>
      <c r="S6" t="s">
        <v>51</v>
      </c>
      <c r="T6">
        <v>861</v>
      </c>
      <c r="U6">
        <v>1</v>
      </c>
      <c r="V6">
        <v>1</v>
      </c>
      <c r="W6">
        <v>0</v>
      </c>
      <c r="X6">
        <v>0</v>
      </c>
      <c r="Y6">
        <v>0</v>
      </c>
      <c r="Z6">
        <v>10</v>
      </c>
      <c r="AA6">
        <v>6.6202605220859006E+29</v>
      </c>
      <c r="AB6" s="2">
        <v>46175.578470717592</v>
      </c>
      <c r="AC6" t="s">
        <v>52</v>
      </c>
      <c r="AD6" t="s">
        <v>51</v>
      </c>
      <c r="AE6" t="s">
        <v>53</v>
      </c>
      <c r="AF6" t="s">
        <v>54</v>
      </c>
      <c r="AH6" s="2">
        <v>46164.374363425923</v>
      </c>
      <c r="AI6" t="s">
        <v>76</v>
      </c>
      <c r="AJ6" t="s">
        <v>77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57</v>
      </c>
      <c r="AQ6" t="s">
        <v>57</v>
      </c>
      <c r="AR6">
        <v>1001</v>
      </c>
      <c r="AS6" t="s">
        <v>58</v>
      </c>
    </row>
    <row r="7" spans="1:45" x14ac:dyDescent="0.25">
      <c r="A7">
        <v>6</v>
      </c>
      <c r="B7">
        <v>6</v>
      </c>
      <c r="C7" t="s">
        <v>78</v>
      </c>
      <c r="D7" t="s">
        <v>46</v>
      </c>
      <c r="E7" t="s">
        <v>47</v>
      </c>
      <c r="F7">
        <v>141</v>
      </c>
      <c r="G7" s="1">
        <v>46164</v>
      </c>
      <c r="H7" s="2">
        <v>46167.798136574071</v>
      </c>
      <c r="I7" s="2">
        <v>46167.798136574071</v>
      </c>
      <c r="L7" t="s">
        <v>48</v>
      </c>
      <c r="M7" t="s">
        <v>49</v>
      </c>
      <c r="N7" t="s">
        <v>50</v>
      </c>
      <c r="O7">
        <v>41</v>
      </c>
      <c r="P7">
        <v>861</v>
      </c>
      <c r="S7" t="s">
        <v>51</v>
      </c>
      <c r="T7">
        <v>861</v>
      </c>
      <c r="U7">
        <v>881001</v>
      </c>
      <c r="V7">
        <v>881001</v>
      </c>
      <c r="W7">
        <v>0</v>
      </c>
      <c r="X7">
        <v>0</v>
      </c>
      <c r="Y7">
        <v>0</v>
      </c>
      <c r="Z7">
        <v>10</v>
      </c>
      <c r="AA7">
        <v>6.6202605251909102E+29</v>
      </c>
      <c r="AB7" s="2">
        <v>46175.57847083333</v>
      </c>
      <c r="AC7" t="s">
        <v>52</v>
      </c>
      <c r="AD7" t="s">
        <v>51</v>
      </c>
      <c r="AE7" t="s">
        <v>53</v>
      </c>
      <c r="AF7" t="s">
        <v>54</v>
      </c>
      <c r="AH7" s="2">
        <v>46167.798136574071</v>
      </c>
      <c r="AI7" t="s">
        <v>79</v>
      </c>
      <c r="AJ7" t="s">
        <v>80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57</v>
      </c>
      <c r="AQ7" t="s">
        <v>57</v>
      </c>
      <c r="AR7">
        <v>1001</v>
      </c>
      <c r="AS7" t="s">
        <v>58</v>
      </c>
    </row>
    <row r="8" spans="1:45" x14ac:dyDescent="0.25">
      <c r="A8">
        <v>7</v>
      </c>
      <c r="B8">
        <v>7</v>
      </c>
      <c r="C8" t="s">
        <v>81</v>
      </c>
      <c r="D8" t="s">
        <v>46</v>
      </c>
      <c r="E8" t="s">
        <v>47</v>
      </c>
      <c r="F8">
        <v>142</v>
      </c>
      <c r="G8" s="1">
        <v>46164</v>
      </c>
      <c r="H8" s="2">
        <v>46167.798148148147</v>
      </c>
      <c r="I8" s="2">
        <v>46167.798171296294</v>
      </c>
      <c r="L8" t="s">
        <v>48</v>
      </c>
      <c r="M8" t="s">
        <v>49</v>
      </c>
      <c r="N8" t="s">
        <v>50</v>
      </c>
      <c r="O8">
        <v>41</v>
      </c>
      <c r="P8">
        <v>861</v>
      </c>
      <c r="S8" t="s">
        <v>51</v>
      </c>
      <c r="T8">
        <v>861</v>
      </c>
      <c r="U8">
        <v>881001</v>
      </c>
      <c r="V8">
        <v>881001</v>
      </c>
      <c r="W8">
        <v>0</v>
      </c>
      <c r="X8">
        <v>0</v>
      </c>
      <c r="Y8">
        <v>0</v>
      </c>
      <c r="Z8">
        <v>10</v>
      </c>
      <c r="AB8" s="2">
        <v>46175.578470949076</v>
      </c>
      <c r="AC8" t="s">
        <v>52</v>
      </c>
      <c r="AD8" t="s">
        <v>51</v>
      </c>
      <c r="AE8" t="s">
        <v>53</v>
      </c>
      <c r="AF8" t="s">
        <v>54</v>
      </c>
      <c r="AH8" s="2">
        <v>46167.798148148147</v>
      </c>
      <c r="AI8" t="s">
        <v>82</v>
      </c>
      <c r="AJ8" t="s">
        <v>83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57</v>
      </c>
      <c r="AQ8" t="s">
        <v>57</v>
      </c>
      <c r="AR8">
        <v>1001</v>
      </c>
      <c r="AS8" t="s">
        <v>58</v>
      </c>
    </row>
    <row r="9" spans="1:45" x14ac:dyDescent="0.25">
      <c r="A9">
        <v>8</v>
      </c>
      <c r="B9">
        <v>8</v>
      </c>
      <c r="C9" t="s">
        <v>84</v>
      </c>
      <c r="D9" t="s">
        <v>46</v>
      </c>
      <c r="E9" t="s">
        <v>47</v>
      </c>
      <c r="F9">
        <v>143</v>
      </c>
      <c r="G9" s="1">
        <v>46167</v>
      </c>
      <c r="H9" s="2">
        <v>46167.798344907409</v>
      </c>
      <c r="I9" s="2">
        <v>46167.798344907409</v>
      </c>
      <c r="L9" t="s">
        <v>48</v>
      </c>
      <c r="M9" t="s">
        <v>49</v>
      </c>
      <c r="N9" t="s">
        <v>50</v>
      </c>
      <c r="O9">
        <v>41</v>
      </c>
      <c r="P9">
        <v>861</v>
      </c>
      <c r="S9" t="s">
        <v>51</v>
      </c>
      <c r="T9">
        <v>861</v>
      </c>
      <c r="U9">
        <v>881001</v>
      </c>
      <c r="V9">
        <v>881001</v>
      </c>
      <c r="W9">
        <v>0</v>
      </c>
      <c r="X9">
        <v>0</v>
      </c>
      <c r="Y9">
        <v>0</v>
      </c>
      <c r="Z9">
        <v>10</v>
      </c>
      <c r="AA9">
        <v>6.6202605251909299E+29</v>
      </c>
      <c r="AB9" s="2">
        <v>46175.578471030094</v>
      </c>
      <c r="AC9" t="s">
        <v>52</v>
      </c>
      <c r="AD9" t="s">
        <v>51</v>
      </c>
      <c r="AE9" t="s">
        <v>53</v>
      </c>
      <c r="AF9" t="s">
        <v>54</v>
      </c>
      <c r="AH9" s="2">
        <v>46167.798344907409</v>
      </c>
      <c r="AI9" t="s">
        <v>85</v>
      </c>
      <c r="AJ9" t="s">
        <v>86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57</v>
      </c>
      <c r="AQ9" t="s">
        <v>57</v>
      </c>
      <c r="AR9">
        <v>1001</v>
      </c>
      <c r="AS9" t="s">
        <v>58</v>
      </c>
    </row>
    <row r="10" spans="1:45" x14ac:dyDescent="0.25">
      <c r="A10">
        <v>9</v>
      </c>
      <c r="B10">
        <v>9</v>
      </c>
      <c r="C10" t="s">
        <v>87</v>
      </c>
      <c r="D10" t="s">
        <v>46</v>
      </c>
      <c r="E10" t="s">
        <v>47</v>
      </c>
      <c r="F10">
        <v>144</v>
      </c>
      <c r="G10" s="1">
        <v>46167</v>
      </c>
      <c r="H10" s="2">
        <v>46167.798726851855</v>
      </c>
      <c r="I10" s="2">
        <v>46168.509293981479</v>
      </c>
      <c r="J10" t="s">
        <v>88</v>
      </c>
      <c r="K10" t="s">
        <v>89</v>
      </c>
      <c r="L10" t="s">
        <v>48</v>
      </c>
      <c r="M10" t="s">
        <v>49</v>
      </c>
      <c r="N10" t="s">
        <v>50</v>
      </c>
      <c r="O10">
        <v>41</v>
      </c>
      <c r="P10">
        <v>861</v>
      </c>
      <c r="Q10" t="s">
        <v>68</v>
      </c>
      <c r="R10" t="s">
        <v>68</v>
      </c>
      <c r="S10" t="s">
        <v>69</v>
      </c>
      <c r="T10">
        <v>861</v>
      </c>
      <c r="U10">
        <v>881001</v>
      </c>
      <c r="V10">
        <v>881001</v>
      </c>
      <c r="W10">
        <v>34</v>
      </c>
      <c r="X10">
        <v>19.3</v>
      </c>
      <c r="Y10">
        <v>21.18</v>
      </c>
      <c r="Z10">
        <v>10</v>
      </c>
      <c r="AA10">
        <v>6.6202605251910101E+29</v>
      </c>
      <c r="AB10" s="2">
        <v>46175.578471180554</v>
      </c>
      <c r="AC10" t="s">
        <v>70</v>
      </c>
      <c r="AD10" t="s">
        <v>69</v>
      </c>
      <c r="AE10" t="s">
        <v>53</v>
      </c>
      <c r="AF10" t="s">
        <v>54</v>
      </c>
      <c r="AH10" s="2">
        <v>46167.798726851855</v>
      </c>
      <c r="AI10" t="s">
        <v>90</v>
      </c>
      <c r="AJ10" t="s">
        <v>91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57</v>
      </c>
      <c r="AQ10" t="s">
        <v>57</v>
      </c>
      <c r="AR10">
        <v>1001</v>
      </c>
      <c r="AS10" t="s">
        <v>74</v>
      </c>
    </row>
    <row r="11" spans="1:45" x14ac:dyDescent="0.25">
      <c r="A11">
        <v>10</v>
      </c>
      <c r="B11">
        <v>10</v>
      </c>
      <c r="C11" t="s">
        <v>92</v>
      </c>
      <c r="D11" t="s">
        <v>46</v>
      </c>
      <c r="E11" t="s">
        <v>47</v>
      </c>
      <c r="F11">
        <v>145</v>
      </c>
      <c r="G11" s="1">
        <v>46167</v>
      </c>
      <c r="H11" s="2">
        <v>46168.509340277778</v>
      </c>
      <c r="I11" s="2">
        <v>46168.509363425925</v>
      </c>
      <c r="L11" t="s">
        <v>48</v>
      </c>
      <c r="M11" t="s">
        <v>49</v>
      </c>
      <c r="N11" t="s">
        <v>50</v>
      </c>
      <c r="O11">
        <v>41</v>
      </c>
      <c r="P11">
        <v>861</v>
      </c>
      <c r="S11" t="s">
        <v>51</v>
      </c>
      <c r="T11">
        <v>861</v>
      </c>
      <c r="U11">
        <v>881001</v>
      </c>
      <c r="V11">
        <v>881001</v>
      </c>
      <c r="W11">
        <v>0</v>
      </c>
      <c r="X11">
        <v>0</v>
      </c>
      <c r="Y11">
        <v>0</v>
      </c>
      <c r="Z11">
        <v>10</v>
      </c>
      <c r="AB11" s="2">
        <v>46175.578471412038</v>
      </c>
      <c r="AC11" t="s">
        <v>52</v>
      </c>
      <c r="AD11" t="s">
        <v>51</v>
      </c>
      <c r="AE11" t="s">
        <v>53</v>
      </c>
      <c r="AF11" t="s">
        <v>54</v>
      </c>
      <c r="AH11" s="2">
        <v>46168.509340277778</v>
      </c>
      <c r="AI11" t="s">
        <v>93</v>
      </c>
      <c r="AJ11" t="s">
        <v>94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57</v>
      </c>
      <c r="AQ11" t="s">
        <v>57</v>
      </c>
      <c r="AR11">
        <v>1001</v>
      </c>
      <c r="AS11" t="s">
        <v>58</v>
      </c>
    </row>
    <row r="12" spans="1:45" x14ac:dyDescent="0.25">
      <c r="A12">
        <v>11</v>
      </c>
      <c r="B12">
        <v>11</v>
      </c>
      <c r="C12" t="s">
        <v>95</v>
      </c>
      <c r="D12" t="s">
        <v>46</v>
      </c>
      <c r="E12" t="s">
        <v>47</v>
      </c>
      <c r="F12">
        <v>146</v>
      </c>
      <c r="G12" s="1">
        <v>46168</v>
      </c>
      <c r="H12" s="2">
        <v>46168.509594907409</v>
      </c>
      <c r="I12" s="2">
        <v>46168.509594907409</v>
      </c>
      <c r="L12" t="s">
        <v>48</v>
      </c>
      <c r="M12" t="s">
        <v>49</v>
      </c>
      <c r="N12" t="s">
        <v>50</v>
      </c>
      <c r="O12">
        <v>41</v>
      </c>
      <c r="P12">
        <v>861</v>
      </c>
      <c r="S12" t="s">
        <v>51</v>
      </c>
      <c r="T12">
        <v>861</v>
      </c>
      <c r="U12">
        <v>1</v>
      </c>
      <c r="V12">
        <v>1</v>
      </c>
      <c r="W12">
        <v>0</v>
      </c>
      <c r="X12">
        <v>0</v>
      </c>
      <c r="Y12">
        <v>0</v>
      </c>
      <c r="Z12">
        <v>10</v>
      </c>
      <c r="AA12">
        <v>6.6202605261213398E+29</v>
      </c>
      <c r="AB12" s="2">
        <v>46175.578471493056</v>
      </c>
      <c r="AC12" t="s">
        <v>52</v>
      </c>
      <c r="AD12" t="s">
        <v>51</v>
      </c>
      <c r="AE12" t="s">
        <v>53</v>
      </c>
      <c r="AF12" t="s">
        <v>54</v>
      </c>
      <c r="AH12" s="2">
        <v>46168.509594907409</v>
      </c>
      <c r="AI12" t="s">
        <v>96</v>
      </c>
      <c r="AJ12" t="s">
        <v>97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57</v>
      </c>
      <c r="AQ12" t="s">
        <v>57</v>
      </c>
      <c r="AR12">
        <v>1001</v>
      </c>
      <c r="AS12" t="s">
        <v>58</v>
      </c>
    </row>
    <row r="13" spans="1:45" x14ac:dyDescent="0.25">
      <c r="A13">
        <v>12</v>
      </c>
      <c r="B13">
        <v>12</v>
      </c>
      <c r="C13" t="s">
        <v>98</v>
      </c>
      <c r="D13" t="s">
        <v>46</v>
      </c>
      <c r="E13" t="s">
        <v>47</v>
      </c>
      <c r="F13">
        <v>147</v>
      </c>
      <c r="G13" s="1">
        <v>46168</v>
      </c>
      <c r="H13" s="2">
        <v>46168.51059027778</v>
      </c>
      <c r="I13" s="2">
        <v>46168.512650462966</v>
      </c>
      <c r="J13" t="s">
        <v>66</v>
      </c>
      <c r="K13" t="s">
        <v>67</v>
      </c>
      <c r="L13" t="s">
        <v>48</v>
      </c>
      <c r="M13" t="s">
        <v>49</v>
      </c>
      <c r="N13" t="s">
        <v>50</v>
      </c>
      <c r="O13">
        <v>41</v>
      </c>
      <c r="P13">
        <v>861</v>
      </c>
      <c r="Q13" t="s">
        <v>68</v>
      </c>
      <c r="R13" t="s">
        <v>68</v>
      </c>
      <c r="S13" t="s">
        <v>69</v>
      </c>
      <c r="T13">
        <v>861</v>
      </c>
      <c r="U13">
        <v>1</v>
      </c>
      <c r="V13">
        <v>1</v>
      </c>
      <c r="W13">
        <v>35</v>
      </c>
      <c r="X13">
        <v>89</v>
      </c>
      <c r="Y13">
        <v>89</v>
      </c>
      <c r="Z13">
        <v>10</v>
      </c>
      <c r="AA13">
        <v>6.6202605261215101E+29</v>
      </c>
      <c r="AB13" s="2">
        <v>46175.578471608795</v>
      </c>
      <c r="AC13" t="s">
        <v>70</v>
      </c>
      <c r="AD13" t="s">
        <v>71</v>
      </c>
      <c r="AE13" t="s">
        <v>53</v>
      </c>
      <c r="AF13" t="s">
        <v>54</v>
      </c>
      <c r="AH13" s="2">
        <v>46168.51059027778</v>
      </c>
      <c r="AI13" t="s">
        <v>99</v>
      </c>
      <c r="AJ13" t="s">
        <v>100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57</v>
      </c>
      <c r="AQ13" t="s">
        <v>57</v>
      </c>
      <c r="AR13">
        <v>1001</v>
      </c>
      <c r="AS13" t="s">
        <v>74</v>
      </c>
    </row>
    <row r="14" spans="1:45" x14ac:dyDescent="0.25">
      <c r="A14">
        <v>13</v>
      </c>
      <c r="B14">
        <v>13</v>
      </c>
      <c r="C14" t="s">
        <v>101</v>
      </c>
      <c r="D14" t="s">
        <v>46</v>
      </c>
      <c r="E14" t="s">
        <v>47</v>
      </c>
      <c r="F14">
        <v>148</v>
      </c>
      <c r="G14" s="1">
        <v>46168</v>
      </c>
      <c r="H14" s="2">
        <v>46168.513310185182</v>
      </c>
      <c r="I14" s="2">
        <v>46168.513854166667</v>
      </c>
      <c r="J14" t="s">
        <v>88</v>
      </c>
      <c r="K14" t="s">
        <v>89</v>
      </c>
      <c r="L14" t="s">
        <v>48</v>
      </c>
      <c r="M14" t="s">
        <v>49</v>
      </c>
      <c r="N14" t="s">
        <v>50</v>
      </c>
      <c r="O14">
        <v>41</v>
      </c>
      <c r="P14">
        <v>861</v>
      </c>
      <c r="Q14" t="s">
        <v>68</v>
      </c>
      <c r="R14" t="s">
        <v>68</v>
      </c>
      <c r="S14" t="s">
        <v>69</v>
      </c>
      <c r="T14">
        <v>861</v>
      </c>
      <c r="U14">
        <v>1</v>
      </c>
      <c r="V14">
        <v>1</v>
      </c>
      <c r="W14">
        <v>36</v>
      </c>
      <c r="X14">
        <v>89</v>
      </c>
      <c r="Y14">
        <v>97.68</v>
      </c>
      <c r="Z14">
        <v>10</v>
      </c>
      <c r="AA14">
        <v>6.6202605261219098E+29</v>
      </c>
      <c r="AB14" s="2">
        <v>46175.578471759261</v>
      </c>
      <c r="AC14" t="s">
        <v>70</v>
      </c>
      <c r="AD14" t="s">
        <v>69</v>
      </c>
      <c r="AE14" t="s">
        <v>53</v>
      </c>
      <c r="AF14" t="s">
        <v>54</v>
      </c>
      <c r="AH14" s="2">
        <v>46168.513310185182</v>
      </c>
      <c r="AI14" t="s">
        <v>102</v>
      </c>
      <c r="AJ14" t="s">
        <v>103</v>
      </c>
      <c r="AK14">
        <v>0</v>
      </c>
      <c r="AL14">
        <v>0</v>
      </c>
      <c r="AM14">
        <v>0</v>
      </c>
      <c r="AN14">
        <v>0</v>
      </c>
      <c r="AO14">
        <v>0</v>
      </c>
      <c r="AP14" t="s">
        <v>57</v>
      </c>
      <c r="AQ14" t="s">
        <v>57</v>
      </c>
      <c r="AR14">
        <v>1001</v>
      </c>
      <c r="AS14" t="s">
        <v>74</v>
      </c>
    </row>
    <row r="15" spans="1:45" x14ac:dyDescent="0.25">
      <c r="A15">
        <v>14</v>
      </c>
      <c r="B15">
        <v>14</v>
      </c>
      <c r="C15" t="s">
        <v>104</v>
      </c>
      <c r="D15" t="s">
        <v>46</v>
      </c>
      <c r="E15" t="s">
        <v>47</v>
      </c>
      <c r="F15">
        <v>149</v>
      </c>
      <c r="G15" s="1">
        <v>46168</v>
      </c>
      <c r="H15" s="2">
        <v>46168.513912037037</v>
      </c>
      <c r="I15" s="2">
        <v>46168.514618055553</v>
      </c>
      <c r="L15" t="s">
        <v>48</v>
      </c>
      <c r="M15" t="s">
        <v>49</v>
      </c>
      <c r="N15" t="s">
        <v>50</v>
      </c>
      <c r="O15">
        <v>41</v>
      </c>
      <c r="P15">
        <v>861</v>
      </c>
      <c r="S15" t="s">
        <v>51</v>
      </c>
      <c r="T15">
        <v>861</v>
      </c>
      <c r="U15">
        <v>1</v>
      </c>
      <c r="V15">
        <v>1</v>
      </c>
      <c r="W15">
        <v>0</v>
      </c>
      <c r="X15">
        <v>0</v>
      </c>
      <c r="Y15">
        <v>0</v>
      </c>
      <c r="Z15">
        <v>10</v>
      </c>
      <c r="AA15">
        <v>6.6202605261219999E+29</v>
      </c>
      <c r="AB15" s="2">
        <v>46175.578471909721</v>
      </c>
      <c r="AC15" t="s">
        <v>52</v>
      </c>
      <c r="AD15" t="s">
        <v>51</v>
      </c>
      <c r="AE15" t="s">
        <v>53</v>
      </c>
      <c r="AF15" t="s">
        <v>54</v>
      </c>
      <c r="AH15" s="2">
        <v>46168.513912037037</v>
      </c>
      <c r="AI15" t="s">
        <v>105</v>
      </c>
      <c r="AJ15" t="s">
        <v>106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57</v>
      </c>
      <c r="AQ15" t="s">
        <v>57</v>
      </c>
      <c r="AR15">
        <v>1001</v>
      </c>
      <c r="AS15" t="s">
        <v>58</v>
      </c>
    </row>
    <row r="16" spans="1:45" x14ac:dyDescent="0.25">
      <c r="A16">
        <v>15</v>
      </c>
      <c r="B16">
        <v>15</v>
      </c>
      <c r="C16" t="s">
        <v>107</v>
      </c>
      <c r="D16" t="s">
        <v>46</v>
      </c>
      <c r="E16" t="s">
        <v>47</v>
      </c>
      <c r="F16">
        <v>150</v>
      </c>
      <c r="G16" s="1">
        <v>46168</v>
      </c>
      <c r="H16" s="2">
        <v>46168.520115740743</v>
      </c>
      <c r="I16" s="2">
        <v>46168.520115740743</v>
      </c>
      <c r="L16" t="s">
        <v>48</v>
      </c>
      <c r="M16" t="s">
        <v>49</v>
      </c>
      <c r="N16" t="s">
        <v>50</v>
      </c>
      <c r="O16">
        <v>41</v>
      </c>
      <c r="P16">
        <v>861</v>
      </c>
      <c r="S16" t="s">
        <v>51</v>
      </c>
      <c r="T16">
        <v>861</v>
      </c>
      <c r="U16">
        <v>1</v>
      </c>
      <c r="V16">
        <v>1</v>
      </c>
      <c r="W16">
        <v>0</v>
      </c>
      <c r="X16">
        <v>0</v>
      </c>
      <c r="Y16">
        <v>0</v>
      </c>
      <c r="Z16">
        <v>10</v>
      </c>
      <c r="AA16">
        <v>6.6202605261228499E+29</v>
      </c>
      <c r="AB16" s="2">
        <v>46175.578471990739</v>
      </c>
      <c r="AC16" t="s">
        <v>52</v>
      </c>
      <c r="AD16" t="s">
        <v>51</v>
      </c>
      <c r="AE16" t="s">
        <v>53</v>
      </c>
      <c r="AF16" t="s">
        <v>54</v>
      </c>
      <c r="AH16" s="2">
        <v>46168.520115740743</v>
      </c>
      <c r="AI16" t="s">
        <v>108</v>
      </c>
      <c r="AJ16" t="s">
        <v>109</v>
      </c>
      <c r="AK16">
        <v>0</v>
      </c>
      <c r="AL16">
        <v>0</v>
      </c>
      <c r="AM16">
        <v>0</v>
      </c>
      <c r="AN16">
        <v>0</v>
      </c>
      <c r="AO16">
        <v>0</v>
      </c>
      <c r="AP16" t="s">
        <v>57</v>
      </c>
      <c r="AQ16" t="s">
        <v>57</v>
      </c>
      <c r="AR16">
        <v>1001</v>
      </c>
      <c r="AS16" t="s">
        <v>58</v>
      </c>
    </row>
    <row r="17" spans="1:45" x14ac:dyDescent="0.25">
      <c r="A17">
        <v>16</v>
      </c>
      <c r="B17">
        <v>16</v>
      </c>
      <c r="C17" t="s">
        <v>110</v>
      </c>
      <c r="D17" t="s">
        <v>46</v>
      </c>
      <c r="E17" t="s">
        <v>47</v>
      </c>
      <c r="F17">
        <v>151</v>
      </c>
      <c r="G17" s="1">
        <v>46168</v>
      </c>
      <c r="H17" s="2">
        <v>46175.348692129628</v>
      </c>
      <c r="I17" s="2">
        <v>46175.348692129628</v>
      </c>
      <c r="L17" t="s">
        <v>48</v>
      </c>
      <c r="M17" t="s">
        <v>49</v>
      </c>
      <c r="N17" t="s">
        <v>50</v>
      </c>
      <c r="O17">
        <v>41</v>
      </c>
      <c r="P17">
        <v>861</v>
      </c>
      <c r="S17" t="s">
        <v>51</v>
      </c>
      <c r="T17">
        <v>861</v>
      </c>
      <c r="U17">
        <v>1</v>
      </c>
      <c r="V17">
        <v>1</v>
      </c>
      <c r="W17">
        <v>0</v>
      </c>
      <c r="X17">
        <v>0</v>
      </c>
      <c r="Y17">
        <v>0</v>
      </c>
      <c r="Z17">
        <v>10</v>
      </c>
      <c r="AA17">
        <v>6.6202606020821994E+29</v>
      </c>
      <c r="AB17" s="2">
        <v>46175.57847202546</v>
      </c>
      <c r="AC17" t="s">
        <v>52</v>
      </c>
      <c r="AD17" t="s">
        <v>51</v>
      </c>
      <c r="AE17" t="s">
        <v>53</v>
      </c>
      <c r="AF17" t="s">
        <v>54</v>
      </c>
      <c r="AH17" s="2">
        <v>46175.348692129628</v>
      </c>
      <c r="AI17" t="s">
        <v>111</v>
      </c>
      <c r="AJ17" t="s">
        <v>112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57</v>
      </c>
      <c r="AQ17" t="s">
        <v>57</v>
      </c>
      <c r="AR17">
        <v>1001</v>
      </c>
      <c r="AS17" t="s">
        <v>58</v>
      </c>
    </row>
    <row r="18" spans="1:45" x14ac:dyDescent="0.25">
      <c r="A18">
        <v>17</v>
      </c>
      <c r="B18">
        <v>17</v>
      </c>
      <c r="C18" t="s">
        <v>113</v>
      </c>
      <c r="D18" t="s">
        <v>46</v>
      </c>
      <c r="E18" t="s">
        <v>47</v>
      </c>
      <c r="F18">
        <v>152</v>
      </c>
      <c r="G18" s="1">
        <v>46168</v>
      </c>
      <c r="H18" s="2">
        <v>46175.350624999999</v>
      </c>
      <c r="I18" s="2">
        <v>46175.350624999999</v>
      </c>
      <c r="L18" t="s">
        <v>48</v>
      </c>
      <c r="M18" t="s">
        <v>49</v>
      </c>
      <c r="N18" t="s">
        <v>50</v>
      </c>
      <c r="O18">
        <v>41</v>
      </c>
      <c r="P18">
        <v>861</v>
      </c>
      <c r="S18" t="s">
        <v>51</v>
      </c>
      <c r="T18">
        <v>861</v>
      </c>
      <c r="U18">
        <v>1</v>
      </c>
      <c r="V18">
        <v>1</v>
      </c>
      <c r="W18">
        <v>0</v>
      </c>
      <c r="X18">
        <v>0</v>
      </c>
      <c r="Y18">
        <v>0</v>
      </c>
      <c r="Z18">
        <v>10</v>
      </c>
      <c r="AA18">
        <v>6.62026060208245E+29</v>
      </c>
      <c r="AB18" s="2">
        <v>46175.578472106485</v>
      </c>
      <c r="AC18" t="s">
        <v>52</v>
      </c>
      <c r="AD18" t="s">
        <v>51</v>
      </c>
      <c r="AE18" t="s">
        <v>53</v>
      </c>
      <c r="AF18" t="s">
        <v>54</v>
      </c>
      <c r="AH18" s="2">
        <v>46175.350624999999</v>
      </c>
      <c r="AI18" t="s">
        <v>114</v>
      </c>
      <c r="AJ18" t="s">
        <v>115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57</v>
      </c>
      <c r="AQ18" t="s">
        <v>57</v>
      </c>
      <c r="AR18">
        <v>1001</v>
      </c>
      <c r="AS18" t="s">
        <v>58</v>
      </c>
    </row>
    <row r="19" spans="1:45" x14ac:dyDescent="0.25">
      <c r="A19">
        <v>18</v>
      </c>
      <c r="B19">
        <v>18</v>
      </c>
      <c r="C19" t="s">
        <v>116</v>
      </c>
      <c r="D19" t="s">
        <v>46</v>
      </c>
      <c r="E19" t="s">
        <v>47</v>
      </c>
      <c r="F19">
        <v>153</v>
      </c>
      <c r="G19" s="1">
        <v>46168</v>
      </c>
      <c r="H19" s="2">
        <v>46175.350636574076</v>
      </c>
      <c r="I19" s="2">
        <v>46175.350706018522</v>
      </c>
      <c r="L19" t="s">
        <v>48</v>
      </c>
      <c r="M19" t="s">
        <v>49</v>
      </c>
      <c r="N19" t="s">
        <v>50</v>
      </c>
      <c r="O19">
        <v>41</v>
      </c>
      <c r="P19">
        <v>861</v>
      </c>
      <c r="S19" t="s">
        <v>51</v>
      </c>
      <c r="T19">
        <v>861</v>
      </c>
      <c r="U19">
        <v>1</v>
      </c>
      <c r="V19">
        <v>1</v>
      </c>
      <c r="W19">
        <v>0</v>
      </c>
      <c r="X19">
        <v>0</v>
      </c>
      <c r="Y19">
        <v>0</v>
      </c>
      <c r="Z19">
        <v>10</v>
      </c>
      <c r="AB19" s="2">
        <v>46175.578472141206</v>
      </c>
      <c r="AC19" t="s">
        <v>52</v>
      </c>
      <c r="AD19" t="s">
        <v>51</v>
      </c>
      <c r="AE19" t="s">
        <v>53</v>
      </c>
      <c r="AF19" t="s">
        <v>54</v>
      </c>
      <c r="AH19" s="2">
        <v>46175.350636574076</v>
      </c>
      <c r="AI19" t="s">
        <v>117</v>
      </c>
      <c r="AJ19" t="s">
        <v>118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57</v>
      </c>
      <c r="AQ19" t="s">
        <v>57</v>
      </c>
      <c r="AR19">
        <v>1001</v>
      </c>
      <c r="AS19" t="s">
        <v>58</v>
      </c>
    </row>
    <row r="20" spans="1:45" x14ac:dyDescent="0.25">
      <c r="A20">
        <v>19</v>
      </c>
      <c r="B20">
        <v>19</v>
      </c>
      <c r="C20" t="s">
        <v>119</v>
      </c>
      <c r="D20" t="s">
        <v>46</v>
      </c>
      <c r="E20" t="s">
        <v>47</v>
      </c>
      <c r="F20">
        <v>154</v>
      </c>
      <c r="G20" s="1">
        <v>46175</v>
      </c>
      <c r="H20" s="2">
        <v>46175.350787037038</v>
      </c>
      <c r="I20" s="2">
        <v>46175.350787037038</v>
      </c>
      <c r="L20" t="s">
        <v>48</v>
      </c>
      <c r="M20" t="s">
        <v>49</v>
      </c>
      <c r="N20" t="s">
        <v>50</v>
      </c>
      <c r="O20">
        <v>41</v>
      </c>
      <c r="P20">
        <v>861</v>
      </c>
      <c r="S20" t="s">
        <v>51</v>
      </c>
      <c r="T20">
        <v>861</v>
      </c>
      <c r="U20">
        <v>1</v>
      </c>
      <c r="V20">
        <v>1</v>
      </c>
      <c r="W20">
        <v>0</v>
      </c>
      <c r="X20">
        <v>0</v>
      </c>
      <c r="Y20">
        <v>0</v>
      </c>
      <c r="Z20">
        <v>10</v>
      </c>
      <c r="AA20">
        <v>6.6202606020825006E+29</v>
      </c>
      <c r="AB20" s="2">
        <v>46175.578472222223</v>
      </c>
      <c r="AC20" t="s">
        <v>52</v>
      </c>
      <c r="AD20" t="s">
        <v>51</v>
      </c>
      <c r="AE20" t="s">
        <v>53</v>
      </c>
      <c r="AF20" t="s">
        <v>54</v>
      </c>
      <c r="AH20" s="2">
        <v>46175.350787037038</v>
      </c>
      <c r="AI20" t="s">
        <v>120</v>
      </c>
      <c r="AJ20" t="s">
        <v>121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57</v>
      </c>
      <c r="AQ20" t="s">
        <v>57</v>
      </c>
      <c r="AR20">
        <v>1001</v>
      </c>
      <c r="AS20" t="s">
        <v>58</v>
      </c>
    </row>
    <row r="21" spans="1:45" x14ac:dyDescent="0.25">
      <c r="A21">
        <v>20</v>
      </c>
      <c r="B21">
        <v>20</v>
      </c>
      <c r="C21" t="s">
        <v>122</v>
      </c>
      <c r="D21" t="s">
        <v>46</v>
      </c>
      <c r="E21" t="s">
        <v>47</v>
      </c>
      <c r="F21">
        <v>155</v>
      </c>
      <c r="G21" s="1">
        <v>46175</v>
      </c>
      <c r="H21" s="2">
        <v>46175.350798611114</v>
      </c>
      <c r="I21" s="2">
        <v>46175.403287037036</v>
      </c>
      <c r="J21" t="s">
        <v>66</v>
      </c>
      <c r="K21" t="s">
        <v>67</v>
      </c>
      <c r="L21" t="s">
        <v>48</v>
      </c>
      <c r="M21" t="s">
        <v>49</v>
      </c>
      <c r="N21" t="s">
        <v>50</v>
      </c>
      <c r="O21">
        <v>41</v>
      </c>
      <c r="P21">
        <v>861</v>
      </c>
      <c r="S21" t="s">
        <v>51</v>
      </c>
      <c r="T21">
        <v>861</v>
      </c>
      <c r="U21">
        <v>1</v>
      </c>
      <c r="V21">
        <v>1</v>
      </c>
      <c r="W21">
        <v>0</v>
      </c>
      <c r="X21">
        <v>0</v>
      </c>
      <c r="Y21">
        <v>0</v>
      </c>
      <c r="Z21">
        <v>10</v>
      </c>
      <c r="AA21">
        <v>6.6202606020825006E+29</v>
      </c>
      <c r="AB21" s="2">
        <v>46175.578472337962</v>
      </c>
      <c r="AC21" t="s">
        <v>70</v>
      </c>
      <c r="AD21" t="s">
        <v>51</v>
      </c>
      <c r="AE21" t="s">
        <v>53</v>
      </c>
      <c r="AF21" t="s">
        <v>54</v>
      </c>
      <c r="AH21" s="2">
        <v>46175.350798611114</v>
      </c>
      <c r="AI21" t="s">
        <v>123</v>
      </c>
      <c r="AJ21" t="s">
        <v>124</v>
      </c>
      <c r="AK21">
        <v>1</v>
      </c>
      <c r="AL21">
        <v>0</v>
      </c>
      <c r="AM21">
        <v>0</v>
      </c>
      <c r="AN21">
        <v>0</v>
      </c>
      <c r="AO21">
        <v>0</v>
      </c>
      <c r="AP21" t="s">
        <v>57</v>
      </c>
      <c r="AQ21" t="s">
        <v>57</v>
      </c>
      <c r="AR21">
        <v>1001</v>
      </c>
      <c r="AS21" t="s">
        <v>58</v>
      </c>
    </row>
    <row r="22" spans="1:45" x14ac:dyDescent="0.25">
      <c r="A22">
        <v>21</v>
      </c>
      <c r="B22">
        <v>21</v>
      </c>
      <c r="C22" t="s">
        <v>125</v>
      </c>
      <c r="D22" t="s">
        <v>46</v>
      </c>
      <c r="E22" t="s">
        <v>47</v>
      </c>
      <c r="F22">
        <v>156</v>
      </c>
      <c r="G22" s="1">
        <v>46175</v>
      </c>
      <c r="H22" s="2">
        <v>46175.405428240738</v>
      </c>
      <c r="I22" s="2">
        <v>46175.406608796293</v>
      </c>
      <c r="J22" t="s">
        <v>66</v>
      </c>
      <c r="K22" t="s">
        <v>67</v>
      </c>
      <c r="L22" t="s">
        <v>48</v>
      </c>
      <c r="M22" t="s">
        <v>49</v>
      </c>
      <c r="N22" t="s">
        <v>50</v>
      </c>
      <c r="O22">
        <v>41</v>
      </c>
      <c r="P22">
        <v>861</v>
      </c>
      <c r="Q22" t="s">
        <v>68</v>
      </c>
      <c r="R22" t="s">
        <v>68</v>
      </c>
      <c r="S22" t="s">
        <v>69</v>
      </c>
      <c r="T22">
        <v>861</v>
      </c>
      <c r="U22">
        <v>1</v>
      </c>
      <c r="V22">
        <v>1</v>
      </c>
      <c r="W22">
        <v>37</v>
      </c>
      <c r="X22">
        <v>293000</v>
      </c>
      <c r="Y22">
        <v>293000</v>
      </c>
      <c r="Z22">
        <v>10</v>
      </c>
      <c r="AA22">
        <v>6.6202606020943395E+29</v>
      </c>
      <c r="AB22" s="2">
        <v>46175.578472453701</v>
      </c>
      <c r="AC22" t="s">
        <v>70</v>
      </c>
      <c r="AD22" t="s">
        <v>71</v>
      </c>
      <c r="AE22" t="s">
        <v>53</v>
      </c>
      <c r="AF22" t="s">
        <v>54</v>
      </c>
      <c r="AH22" s="2">
        <v>46175.405428240738</v>
      </c>
      <c r="AI22" t="s">
        <v>126</v>
      </c>
      <c r="AJ22" t="s">
        <v>127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57</v>
      </c>
      <c r="AQ22" t="s">
        <v>57</v>
      </c>
      <c r="AR22">
        <v>1001</v>
      </c>
      <c r="AS22" t="s">
        <v>74</v>
      </c>
    </row>
    <row r="23" spans="1:45" x14ac:dyDescent="0.25">
      <c r="A23">
        <v>22</v>
      </c>
      <c r="B23">
        <v>22</v>
      </c>
      <c r="C23" t="s">
        <v>128</v>
      </c>
      <c r="D23" t="s">
        <v>46</v>
      </c>
      <c r="E23" t="s">
        <v>47</v>
      </c>
      <c r="F23">
        <v>157</v>
      </c>
      <c r="G23" s="1">
        <v>46175</v>
      </c>
      <c r="H23" s="2">
        <v>46175.406701388885</v>
      </c>
      <c r="I23" s="2">
        <v>46175.407407407409</v>
      </c>
      <c r="L23" t="s">
        <v>48</v>
      </c>
      <c r="M23" t="s">
        <v>49</v>
      </c>
      <c r="N23" t="s">
        <v>50</v>
      </c>
      <c r="O23">
        <v>41</v>
      </c>
      <c r="P23">
        <v>861</v>
      </c>
      <c r="S23" t="s">
        <v>51</v>
      </c>
      <c r="T23">
        <v>861</v>
      </c>
      <c r="U23">
        <v>1</v>
      </c>
      <c r="V23">
        <v>1</v>
      </c>
      <c r="W23">
        <v>0</v>
      </c>
      <c r="X23">
        <v>0</v>
      </c>
      <c r="Y23">
        <v>0</v>
      </c>
      <c r="Z23">
        <v>10</v>
      </c>
      <c r="AA23">
        <v>6.6202606020945295E+29</v>
      </c>
      <c r="AB23" s="2">
        <v>46175.578472604167</v>
      </c>
      <c r="AC23" t="s">
        <v>52</v>
      </c>
      <c r="AD23" t="s">
        <v>51</v>
      </c>
      <c r="AE23" t="s">
        <v>53</v>
      </c>
      <c r="AF23" t="s">
        <v>54</v>
      </c>
      <c r="AH23" s="2">
        <v>46175.406701388885</v>
      </c>
      <c r="AI23" t="s">
        <v>129</v>
      </c>
      <c r="AJ23" t="s">
        <v>130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57</v>
      </c>
      <c r="AQ23" t="s">
        <v>57</v>
      </c>
      <c r="AR23">
        <v>1001</v>
      </c>
      <c r="AS23" t="s">
        <v>58</v>
      </c>
    </row>
    <row r="24" spans="1:45" x14ac:dyDescent="0.25">
      <c r="A24">
        <v>23</v>
      </c>
      <c r="B24">
        <v>23</v>
      </c>
      <c r="C24" t="s">
        <v>131</v>
      </c>
      <c r="D24" t="s">
        <v>46</v>
      </c>
      <c r="E24" t="s">
        <v>47</v>
      </c>
      <c r="F24">
        <v>158</v>
      </c>
      <c r="G24" s="1">
        <v>46175</v>
      </c>
      <c r="H24" s="2">
        <v>46175.524872685186</v>
      </c>
      <c r="I24" s="2">
        <v>46175.524872685186</v>
      </c>
      <c r="L24" t="s">
        <v>48</v>
      </c>
      <c r="M24" t="s">
        <v>49</v>
      </c>
      <c r="N24" t="s">
        <v>50</v>
      </c>
      <c r="O24">
        <v>41</v>
      </c>
      <c r="P24">
        <v>861</v>
      </c>
      <c r="S24" t="s">
        <v>51</v>
      </c>
      <c r="T24">
        <v>861</v>
      </c>
      <c r="U24">
        <v>1</v>
      </c>
      <c r="V24">
        <v>1</v>
      </c>
      <c r="W24">
        <v>0</v>
      </c>
      <c r="X24">
        <v>0</v>
      </c>
      <c r="Y24">
        <v>0</v>
      </c>
      <c r="Z24">
        <v>10</v>
      </c>
      <c r="AA24">
        <v>6.6202606021235397E+29</v>
      </c>
      <c r="AB24" s="2">
        <v>46175.578472685185</v>
      </c>
      <c r="AC24" t="s">
        <v>52</v>
      </c>
      <c r="AD24" t="s">
        <v>51</v>
      </c>
      <c r="AE24" t="s">
        <v>53</v>
      </c>
      <c r="AF24" t="s">
        <v>54</v>
      </c>
      <c r="AH24" s="2">
        <v>46175.524872685186</v>
      </c>
      <c r="AI24" t="s">
        <v>132</v>
      </c>
      <c r="AJ24" t="s">
        <v>133</v>
      </c>
      <c r="AK24">
        <v>0</v>
      </c>
      <c r="AL24">
        <v>0</v>
      </c>
      <c r="AM24">
        <v>0</v>
      </c>
      <c r="AN24">
        <v>0</v>
      </c>
      <c r="AO24">
        <v>0</v>
      </c>
      <c r="AP24" t="s">
        <v>57</v>
      </c>
      <c r="AQ24" t="s">
        <v>57</v>
      </c>
      <c r="AR24">
        <v>1001</v>
      </c>
      <c r="AS24" t="s">
        <v>58</v>
      </c>
    </row>
    <row r="25" spans="1:45" x14ac:dyDescent="0.25">
      <c r="A25">
        <v>24</v>
      </c>
      <c r="B25">
        <v>24</v>
      </c>
      <c r="C25" t="s">
        <v>134</v>
      </c>
      <c r="D25" t="s">
        <v>46</v>
      </c>
      <c r="E25" t="s">
        <v>47</v>
      </c>
      <c r="F25">
        <v>159</v>
      </c>
      <c r="G25" s="1">
        <v>46175</v>
      </c>
      <c r="H25" s="2">
        <v>46175.538472222222</v>
      </c>
      <c r="I25" s="2">
        <v>46175.538472222222</v>
      </c>
      <c r="L25" t="s">
        <v>48</v>
      </c>
      <c r="M25" t="s">
        <v>49</v>
      </c>
      <c r="N25" t="s">
        <v>50</v>
      </c>
      <c r="O25">
        <v>41</v>
      </c>
      <c r="P25">
        <v>861</v>
      </c>
      <c r="S25" t="s">
        <v>51</v>
      </c>
      <c r="T25">
        <v>861</v>
      </c>
      <c r="U25">
        <v>1</v>
      </c>
      <c r="V25">
        <v>1</v>
      </c>
      <c r="W25">
        <v>0</v>
      </c>
      <c r="X25">
        <v>0</v>
      </c>
      <c r="Y25">
        <v>0</v>
      </c>
      <c r="Z25">
        <v>10</v>
      </c>
      <c r="AA25">
        <v>6.6202606021255198E+29</v>
      </c>
      <c r="AB25" s="2">
        <v>46175.578472719906</v>
      </c>
      <c r="AC25" t="s">
        <v>52</v>
      </c>
      <c r="AD25" t="s">
        <v>51</v>
      </c>
      <c r="AE25" t="s">
        <v>53</v>
      </c>
      <c r="AF25" t="s">
        <v>54</v>
      </c>
      <c r="AH25" s="2">
        <v>46175.538472222222</v>
      </c>
      <c r="AI25" t="s">
        <v>135</v>
      </c>
      <c r="AJ25" t="s">
        <v>136</v>
      </c>
      <c r="AK25">
        <v>0</v>
      </c>
      <c r="AL25">
        <v>0</v>
      </c>
      <c r="AM25">
        <v>0</v>
      </c>
      <c r="AN25">
        <v>0</v>
      </c>
      <c r="AO25">
        <v>0</v>
      </c>
      <c r="AP25" t="s">
        <v>57</v>
      </c>
      <c r="AQ25" t="s">
        <v>57</v>
      </c>
      <c r="AR25">
        <v>1001</v>
      </c>
      <c r="AS25" t="s">
        <v>58</v>
      </c>
    </row>
    <row r="26" spans="1:45" x14ac:dyDescent="0.25">
      <c r="A26">
        <v>25</v>
      </c>
      <c r="B26">
        <v>25</v>
      </c>
      <c r="C26" t="s">
        <v>137</v>
      </c>
      <c r="D26" t="s">
        <v>46</v>
      </c>
      <c r="E26" t="s">
        <v>47</v>
      </c>
      <c r="F26">
        <v>160</v>
      </c>
      <c r="G26" s="1">
        <v>46175</v>
      </c>
      <c r="H26" s="2">
        <v>46175.540011574078</v>
      </c>
      <c r="I26" s="2">
        <v>46175.541296296295</v>
      </c>
      <c r="J26" t="s">
        <v>66</v>
      </c>
      <c r="K26" t="s">
        <v>67</v>
      </c>
      <c r="L26" t="s">
        <v>48</v>
      </c>
      <c r="M26" t="s">
        <v>49</v>
      </c>
      <c r="N26" t="s">
        <v>50</v>
      </c>
      <c r="O26">
        <v>41</v>
      </c>
      <c r="P26">
        <v>861</v>
      </c>
      <c r="Q26" t="s">
        <v>68</v>
      </c>
      <c r="R26" t="s">
        <v>68</v>
      </c>
      <c r="S26" t="s">
        <v>69</v>
      </c>
      <c r="T26">
        <v>861</v>
      </c>
      <c r="U26">
        <v>1</v>
      </c>
      <c r="V26">
        <v>1</v>
      </c>
      <c r="W26">
        <v>38</v>
      </c>
      <c r="X26">
        <v>195000</v>
      </c>
      <c r="Y26">
        <v>195000</v>
      </c>
      <c r="Z26">
        <v>10</v>
      </c>
      <c r="AA26">
        <v>6.6202606021257295E+29</v>
      </c>
      <c r="AB26" s="2">
        <v>46175.578472835645</v>
      </c>
      <c r="AC26" t="s">
        <v>70</v>
      </c>
      <c r="AD26" t="s">
        <v>71</v>
      </c>
      <c r="AE26" t="s">
        <v>53</v>
      </c>
      <c r="AF26" t="s">
        <v>54</v>
      </c>
      <c r="AH26" s="2">
        <v>46175.540011574078</v>
      </c>
      <c r="AI26" t="s">
        <v>138</v>
      </c>
      <c r="AJ26" t="s">
        <v>139</v>
      </c>
      <c r="AK26">
        <v>0</v>
      </c>
      <c r="AL26">
        <v>0</v>
      </c>
      <c r="AM26">
        <v>0</v>
      </c>
      <c r="AN26">
        <v>0</v>
      </c>
      <c r="AO26">
        <v>0</v>
      </c>
      <c r="AP26" t="s">
        <v>57</v>
      </c>
      <c r="AQ26" t="s">
        <v>57</v>
      </c>
      <c r="AR26">
        <v>1001</v>
      </c>
      <c r="AS26" t="s">
        <v>74</v>
      </c>
    </row>
    <row r="27" spans="1:45" x14ac:dyDescent="0.25">
      <c r="A27">
        <v>26</v>
      </c>
      <c r="B27">
        <v>26</v>
      </c>
      <c r="C27" t="s">
        <v>140</v>
      </c>
      <c r="D27" t="s">
        <v>46</v>
      </c>
      <c r="E27" t="s">
        <v>47</v>
      </c>
      <c r="F27">
        <v>161</v>
      </c>
      <c r="G27" s="1">
        <v>46175</v>
      </c>
      <c r="H27" s="2">
        <v>46175.541377314818</v>
      </c>
      <c r="I27" s="2">
        <v>46175.542083333334</v>
      </c>
      <c r="L27" t="s">
        <v>48</v>
      </c>
      <c r="M27" t="s">
        <v>49</v>
      </c>
      <c r="N27" t="s">
        <v>50</v>
      </c>
      <c r="O27">
        <v>41</v>
      </c>
      <c r="P27">
        <v>861</v>
      </c>
      <c r="S27" t="s">
        <v>51</v>
      </c>
      <c r="T27">
        <v>861</v>
      </c>
      <c r="U27">
        <v>1</v>
      </c>
      <c r="V27">
        <v>1</v>
      </c>
      <c r="W27">
        <v>0</v>
      </c>
      <c r="X27">
        <v>0</v>
      </c>
      <c r="Y27">
        <v>0</v>
      </c>
      <c r="Z27">
        <v>10</v>
      </c>
      <c r="AA27">
        <v>6.6202606021259294E+29</v>
      </c>
      <c r="AB27" s="2">
        <v>46175.57847291667</v>
      </c>
      <c r="AC27" t="s">
        <v>52</v>
      </c>
      <c r="AD27" t="s">
        <v>51</v>
      </c>
      <c r="AE27" t="s">
        <v>53</v>
      </c>
      <c r="AF27" t="s">
        <v>54</v>
      </c>
      <c r="AH27" s="2">
        <v>46175.541377314818</v>
      </c>
      <c r="AI27" t="s">
        <v>141</v>
      </c>
      <c r="AJ27" t="s">
        <v>142</v>
      </c>
      <c r="AK27">
        <v>0</v>
      </c>
      <c r="AL27">
        <v>0</v>
      </c>
      <c r="AM27">
        <v>0</v>
      </c>
      <c r="AN27">
        <v>0</v>
      </c>
      <c r="AO27">
        <v>0</v>
      </c>
      <c r="AP27" t="s">
        <v>57</v>
      </c>
      <c r="AQ27" t="s">
        <v>57</v>
      </c>
      <c r="AR27">
        <v>1001</v>
      </c>
      <c r="AS27" t="s">
        <v>58</v>
      </c>
    </row>
    <row r="28" spans="1:45" x14ac:dyDescent="0.25">
      <c r="A28">
        <v>27</v>
      </c>
      <c r="B28">
        <v>27</v>
      </c>
      <c r="C28" t="s">
        <v>143</v>
      </c>
      <c r="D28" t="s">
        <v>46</v>
      </c>
      <c r="E28" t="s">
        <v>47</v>
      </c>
      <c r="F28">
        <v>162</v>
      </c>
      <c r="G28" s="1">
        <v>46175</v>
      </c>
      <c r="H28" s="2">
        <v>46175.549016203702</v>
      </c>
      <c r="I28" s="2">
        <v>46175.549016203702</v>
      </c>
      <c r="L28" t="s">
        <v>48</v>
      </c>
      <c r="M28" t="s">
        <v>49</v>
      </c>
      <c r="N28" t="s">
        <v>50</v>
      </c>
      <c r="O28">
        <v>41</v>
      </c>
      <c r="P28">
        <v>861</v>
      </c>
      <c r="S28" t="s">
        <v>51</v>
      </c>
      <c r="T28">
        <v>861</v>
      </c>
      <c r="U28">
        <v>1</v>
      </c>
      <c r="V28">
        <v>1</v>
      </c>
      <c r="W28">
        <v>0</v>
      </c>
      <c r="X28">
        <v>0</v>
      </c>
      <c r="Y28">
        <v>0</v>
      </c>
      <c r="Z28">
        <v>10</v>
      </c>
      <c r="AA28">
        <v>6.6202606021310297E+29</v>
      </c>
      <c r="AB28" s="2">
        <v>46175.578472951391</v>
      </c>
      <c r="AC28" t="s">
        <v>52</v>
      </c>
      <c r="AD28" t="s">
        <v>51</v>
      </c>
      <c r="AE28" t="s">
        <v>53</v>
      </c>
      <c r="AF28" t="s">
        <v>54</v>
      </c>
      <c r="AH28" s="2">
        <v>46175.549016203702</v>
      </c>
      <c r="AI28" t="s">
        <v>144</v>
      </c>
      <c r="AJ28" t="s">
        <v>145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57</v>
      </c>
      <c r="AQ28" t="s">
        <v>57</v>
      </c>
      <c r="AR28">
        <v>1001</v>
      </c>
      <c r="AS28" t="s">
        <v>58</v>
      </c>
    </row>
    <row r="29" spans="1:45" x14ac:dyDescent="0.25">
      <c r="A29">
        <v>28</v>
      </c>
      <c r="B29">
        <v>28</v>
      </c>
      <c r="C29" t="s">
        <v>146</v>
      </c>
      <c r="D29" t="s">
        <v>46</v>
      </c>
      <c r="E29" t="s">
        <v>47</v>
      </c>
      <c r="F29">
        <v>163</v>
      </c>
      <c r="G29" s="1">
        <v>46175</v>
      </c>
      <c r="H29" s="2">
        <v>46175.553136574075</v>
      </c>
      <c r="I29" s="2">
        <v>46175.554432870369</v>
      </c>
      <c r="J29" t="s">
        <v>66</v>
      </c>
      <c r="K29" t="s">
        <v>67</v>
      </c>
      <c r="L29" t="s">
        <v>48</v>
      </c>
      <c r="M29" t="s">
        <v>49</v>
      </c>
      <c r="N29" t="s">
        <v>50</v>
      </c>
      <c r="O29">
        <v>41</v>
      </c>
      <c r="P29">
        <v>861</v>
      </c>
      <c r="Q29" t="s">
        <v>68</v>
      </c>
      <c r="R29" t="s">
        <v>68</v>
      </c>
      <c r="S29" t="s">
        <v>69</v>
      </c>
      <c r="T29">
        <v>861</v>
      </c>
      <c r="U29">
        <v>1</v>
      </c>
      <c r="V29">
        <v>1</v>
      </c>
      <c r="W29">
        <v>39</v>
      </c>
      <c r="X29">
        <v>1573.08</v>
      </c>
      <c r="Y29">
        <v>1573.08</v>
      </c>
      <c r="Z29">
        <v>10</v>
      </c>
      <c r="AA29">
        <v>6.6202606021316307E+29</v>
      </c>
      <c r="AB29" s="2">
        <v>46175.578473067129</v>
      </c>
      <c r="AC29" t="s">
        <v>70</v>
      </c>
      <c r="AD29" t="s">
        <v>71</v>
      </c>
      <c r="AE29" t="s">
        <v>53</v>
      </c>
      <c r="AF29" t="s">
        <v>54</v>
      </c>
      <c r="AH29" s="2">
        <v>46175.553136574075</v>
      </c>
      <c r="AI29" t="s">
        <v>147</v>
      </c>
      <c r="AJ29" t="s">
        <v>148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57</v>
      </c>
      <c r="AQ29" t="s">
        <v>57</v>
      </c>
      <c r="AR29">
        <v>1001</v>
      </c>
      <c r="AS29" t="s">
        <v>74</v>
      </c>
    </row>
    <row r="30" spans="1:45" x14ac:dyDescent="0.25">
      <c r="A30">
        <v>29</v>
      </c>
      <c r="B30">
        <v>29</v>
      </c>
      <c r="C30" t="s">
        <v>149</v>
      </c>
      <c r="D30" t="s">
        <v>46</v>
      </c>
      <c r="E30" t="s">
        <v>47</v>
      </c>
      <c r="F30">
        <v>164</v>
      </c>
      <c r="G30" s="1">
        <v>46175</v>
      </c>
      <c r="H30" s="2">
        <v>46175.554525462961</v>
      </c>
      <c r="I30" s="2">
        <v>46175.555289351854</v>
      </c>
      <c r="L30" t="s">
        <v>48</v>
      </c>
      <c r="M30" t="s">
        <v>49</v>
      </c>
      <c r="N30" t="s">
        <v>50</v>
      </c>
      <c r="O30">
        <v>41</v>
      </c>
      <c r="P30">
        <v>861</v>
      </c>
      <c r="S30" t="s">
        <v>51</v>
      </c>
      <c r="T30">
        <v>861</v>
      </c>
      <c r="U30">
        <v>1</v>
      </c>
      <c r="V30">
        <v>1</v>
      </c>
      <c r="W30">
        <v>0</v>
      </c>
      <c r="X30">
        <v>0</v>
      </c>
      <c r="Y30">
        <v>0</v>
      </c>
      <c r="Z30">
        <v>10</v>
      </c>
      <c r="AA30">
        <v>6.6202606021318305E+29</v>
      </c>
      <c r="AB30" s="2">
        <v>46175.578473229165</v>
      </c>
      <c r="AC30" t="s">
        <v>52</v>
      </c>
      <c r="AD30" t="s">
        <v>51</v>
      </c>
      <c r="AE30" t="s">
        <v>53</v>
      </c>
      <c r="AF30" t="s">
        <v>54</v>
      </c>
      <c r="AH30" s="2">
        <v>46175.554525462961</v>
      </c>
      <c r="AI30" t="s">
        <v>150</v>
      </c>
      <c r="AJ30" t="s">
        <v>151</v>
      </c>
      <c r="AK30">
        <v>0</v>
      </c>
      <c r="AL30">
        <v>0</v>
      </c>
      <c r="AM30">
        <v>0</v>
      </c>
      <c r="AN30">
        <v>0</v>
      </c>
      <c r="AO30">
        <v>0</v>
      </c>
      <c r="AP30" t="s">
        <v>57</v>
      </c>
      <c r="AQ30" t="s">
        <v>57</v>
      </c>
      <c r="AR30">
        <v>1001</v>
      </c>
      <c r="AS30" t="s">
        <v>58</v>
      </c>
    </row>
    <row r="31" spans="1:45" x14ac:dyDescent="0.25">
      <c r="A31">
        <v>30</v>
      </c>
      <c r="B31">
        <v>30</v>
      </c>
      <c r="C31" t="s">
        <v>152</v>
      </c>
      <c r="D31" t="s">
        <v>46</v>
      </c>
      <c r="E31" t="s">
        <v>47</v>
      </c>
      <c r="F31">
        <v>165</v>
      </c>
      <c r="G31" s="1">
        <v>46175</v>
      </c>
      <c r="H31" s="2">
        <v>46175.557395833333</v>
      </c>
      <c r="I31" s="2">
        <v>46175.557395833333</v>
      </c>
      <c r="L31" t="s">
        <v>48</v>
      </c>
      <c r="M31" t="s">
        <v>49</v>
      </c>
      <c r="N31" t="s">
        <v>50</v>
      </c>
      <c r="O31">
        <v>41</v>
      </c>
      <c r="P31">
        <v>861</v>
      </c>
      <c r="S31" t="s">
        <v>51</v>
      </c>
      <c r="T31">
        <v>861</v>
      </c>
      <c r="U31">
        <v>1</v>
      </c>
      <c r="V31">
        <v>1</v>
      </c>
      <c r="W31">
        <v>0</v>
      </c>
      <c r="X31">
        <v>0</v>
      </c>
      <c r="Y31">
        <v>0</v>
      </c>
      <c r="Z31">
        <v>10</v>
      </c>
      <c r="AA31">
        <v>6.6202606021322302E+29</v>
      </c>
      <c r="AB31" s="2">
        <v>46175.578473263886</v>
      </c>
      <c r="AC31" t="s">
        <v>52</v>
      </c>
      <c r="AD31" t="s">
        <v>51</v>
      </c>
      <c r="AE31" t="s">
        <v>53</v>
      </c>
      <c r="AF31" t="s">
        <v>54</v>
      </c>
      <c r="AH31" s="2">
        <v>46175.557395833333</v>
      </c>
      <c r="AI31" t="s">
        <v>153</v>
      </c>
      <c r="AJ31" t="s">
        <v>154</v>
      </c>
      <c r="AK31">
        <v>0</v>
      </c>
      <c r="AL31">
        <v>0</v>
      </c>
      <c r="AM31">
        <v>0</v>
      </c>
      <c r="AN31">
        <v>0</v>
      </c>
      <c r="AO31">
        <v>0</v>
      </c>
      <c r="AP31" t="s">
        <v>57</v>
      </c>
      <c r="AQ31" t="s">
        <v>57</v>
      </c>
      <c r="AR31">
        <v>1001</v>
      </c>
      <c r="AS31" t="s">
        <v>58</v>
      </c>
    </row>
    <row r="32" spans="1:45" x14ac:dyDescent="0.25">
      <c r="A32">
        <v>31</v>
      </c>
      <c r="B32">
        <v>31</v>
      </c>
      <c r="C32" t="s">
        <v>155</v>
      </c>
      <c r="D32" t="s">
        <v>46</v>
      </c>
      <c r="E32" t="s">
        <v>47</v>
      </c>
      <c r="F32">
        <v>166</v>
      </c>
      <c r="G32" s="1">
        <v>46175</v>
      </c>
      <c r="H32" s="2">
        <v>46175.559398148151</v>
      </c>
      <c r="I32" s="2">
        <v>46175.560937499999</v>
      </c>
      <c r="J32" t="s">
        <v>88</v>
      </c>
      <c r="K32" t="s">
        <v>89</v>
      </c>
      <c r="L32" t="s">
        <v>48</v>
      </c>
      <c r="M32" t="s">
        <v>49</v>
      </c>
      <c r="N32" t="s">
        <v>50</v>
      </c>
      <c r="O32">
        <v>41</v>
      </c>
      <c r="P32">
        <v>861</v>
      </c>
      <c r="Q32" t="s">
        <v>68</v>
      </c>
      <c r="R32" t="s">
        <v>68</v>
      </c>
      <c r="S32" t="s">
        <v>69</v>
      </c>
      <c r="T32">
        <v>861</v>
      </c>
      <c r="U32">
        <v>1</v>
      </c>
      <c r="V32">
        <v>1</v>
      </c>
      <c r="W32">
        <v>40</v>
      </c>
      <c r="X32">
        <v>1336</v>
      </c>
      <c r="Y32">
        <v>1456.9</v>
      </c>
      <c r="Z32">
        <v>10</v>
      </c>
      <c r="AA32">
        <v>6.62026060213253E+29</v>
      </c>
      <c r="AB32" s="2">
        <v>46175.578473379632</v>
      </c>
      <c r="AC32" t="s">
        <v>70</v>
      </c>
      <c r="AD32" t="s">
        <v>69</v>
      </c>
      <c r="AE32" t="s">
        <v>53</v>
      </c>
      <c r="AF32" t="s">
        <v>54</v>
      </c>
      <c r="AH32" s="2">
        <v>46175.559398148151</v>
      </c>
      <c r="AI32" t="s">
        <v>156</v>
      </c>
      <c r="AJ32" t="s">
        <v>157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57</v>
      </c>
      <c r="AQ32" t="s">
        <v>57</v>
      </c>
      <c r="AR32">
        <v>1001</v>
      </c>
      <c r="AS32" t="s">
        <v>74</v>
      </c>
    </row>
    <row r="33" spans="1:45" x14ac:dyDescent="0.25">
      <c r="A33">
        <v>32</v>
      </c>
      <c r="B33">
        <v>32</v>
      </c>
      <c r="C33" t="s">
        <v>158</v>
      </c>
      <c r="D33" t="s">
        <v>46</v>
      </c>
      <c r="E33" t="s">
        <v>47</v>
      </c>
      <c r="F33">
        <v>167</v>
      </c>
      <c r="G33" s="1">
        <v>46175</v>
      </c>
      <c r="H33" s="2">
        <v>46175.560995370368</v>
      </c>
      <c r="I33" s="2">
        <v>46175.562152777777</v>
      </c>
      <c r="L33" t="s">
        <v>48</v>
      </c>
      <c r="M33" t="s">
        <v>49</v>
      </c>
      <c r="N33" t="s">
        <v>50</v>
      </c>
      <c r="O33">
        <v>41</v>
      </c>
      <c r="P33">
        <v>861</v>
      </c>
      <c r="S33" t="s">
        <v>51</v>
      </c>
      <c r="T33">
        <v>861</v>
      </c>
      <c r="U33">
        <v>1</v>
      </c>
      <c r="V33">
        <v>1</v>
      </c>
      <c r="W33">
        <v>0</v>
      </c>
      <c r="X33">
        <v>0</v>
      </c>
      <c r="Y33">
        <v>0</v>
      </c>
      <c r="Z33">
        <v>10</v>
      </c>
      <c r="AA33">
        <v>6.6202606021327495E+29</v>
      </c>
      <c r="AB33" s="2">
        <v>46175.578473576388</v>
      </c>
      <c r="AC33" t="s">
        <v>52</v>
      </c>
      <c r="AD33" t="s">
        <v>51</v>
      </c>
      <c r="AE33" t="s">
        <v>53</v>
      </c>
      <c r="AF33" t="s">
        <v>54</v>
      </c>
      <c r="AH33" s="2">
        <v>46175.560995370368</v>
      </c>
      <c r="AI33" t="s">
        <v>159</v>
      </c>
      <c r="AJ33" t="s">
        <v>160</v>
      </c>
      <c r="AK33">
        <v>0</v>
      </c>
      <c r="AL33">
        <v>0</v>
      </c>
      <c r="AM33">
        <v>0</v>
      </c>
      <c r="AN33">
        <v>0</v>
      </c>
      <c r="AO33">
        <v>0</v>
      </c>
      <c r="AP33" t="s">
        <v>57</v>
      </c>
      <c r="AQ33" t="s">
        <v>57</v>
      </c>
      <c r="AR33">
        <v>1001</v>
      </c>
      <c r="AS33" t="s">
        <v>58</v>
      </c>
    </row>
    <row r="34" spans="1:45" x14ac:dyDescent="0.25">
      <c r="A34">
        <v>33</v>
      </c>
      <c r="B34">
        <v>33</v>
      </c>
      <c r="C34" t="s">
        <v>161</v>
      </c>
      <c r="D34" t="s">
        <v>46</v>
      </c>
      <c r="E34" t="s">
        <v>162</v>
      </c>
      <c r="F34">
        <v>100</v>
      </c>
      <c r="G34" s="1">
        <v>46162</v>
      </c>
      <c r="H34" s="2">
        <v>46163.006851851853</v>
      </c>
      <c r="I34" s="2">
        <v>46163.006851851853</v>
      </c>
      <c r="M34" t="s">
        <v>49</v>
      </c>
      <c r="N34" t="s">
        <v>50</v>
      </c>
      <c r="O34">
        <v>41</v>
      </c>
      <c r="P34">
        <v>861</v>
      </c>
      <c r="S34" t="s">
        <v>51</v>
      </c>
      <c r="T34">
        <v>861</v>
      </c>
      <c r="U34">
        <v>1</v>
      </c>
      <c r="V34">
        <v>1</v>
      </c>
      <c r="W34">
        <v>0</v>
      </c>
      <c r="X34">
        <v>0</v>
      </c>
      <c r="Y34">
        <v>0</v>
      </c>
      <c r="Z34">
        <v>3</v>
      </c>
      <c r="AA34">
        <v>6.6202605210009497E+29</v>
      </c>
      <c r="AB34" s="2">
        <v>46175.578473692127</v>
      </c>
      <c r="AC34" t="s">
        <v>52</v>
      </c>
      <c r="AD34" t="s">
        <v>51</v>
      </c>
      <c r="AE34" t="s">
        <v>53</v>
      </c>
      <c r="AF34" t="s">
        <v>54</v>
      </c>
      <c r="AH34" s="2">
        <v>46163.006851851853</v>
      </c>
      <c r="AI34" t="s">
        <v>163</v>
      </c>
      <c r="AJ34" t="s">
        <v>164</v>
      </c>
      <c r="AK34">
        <v>0</v>
      </c>
      <c r="AL34">
        <v>0</v>
      </c>
      <c r="AM34">
        <v>0</v>
      </c>
      <c r="AN34">
        <v>0</v>
      </c>
      <c r="AO34">
        <v>0</v>
      </c>
      <c r="AP34" t="s">
        <v>57</v>
      </c>
      <c r="AQ34" t="s">
        <v>57</v>
      </c>
      <c r="AS34" t="s">
        <v>58</v>
      </c>
    </row>
    <row r="35" spans="1:45" x14ac:dyDescent="0.25">
      <c r="A35">
        <v>34</v>
      </c>
      <c r="B35">
        <v>34</v>
      </c>
      <c r="C35" t="s">
        <v>165</v>
      </c>
      <c r="D35" t="s">
        <v>46</v>
      </c>
      <c r="E35" t="s">
        <v>162</v>
      </c>
      <c r="F35">
        <v>101</v>
      </c>
      <c r="G35" s="1">
        <v>46162</v>
      </c>
      <c r="H35" s="2">
        <v>46163.007962962962</v>
      </c>
      <c r="I35" s="2">
        <v>46163.009062500001</v>
      </c>
      <c r="J35" t="s">
        <v>88</v>
      </c>
      <c r="K35" t="s">
        <v>89</v>
      </c>
      <c r="M35" t="s">
        <v>49</v>
      </c>
      <c r="N35" t="s">
        <v>50</v>
      </c>
      <c r="O35">
        <v>41</v>
      </c>
      <c r="P35">
        <v>861</v>
      </c>
      <c r="Q35" t="s">
        <v>68</v>
      </c>
      <c r="R35" t="s">
        <v>68</v>
      </c>
      <c r="S35" t="s">
        <v>69</v>
      </c>
      <c r="T35">
        <v>861</v>
      </c>
      <c r="U35">
        <v>1</v>
      </c>
      <c r="V35">
        <v>1</v>
      </c>
      <c r="W35">
        <v>23</v>
      </c>
      <c r="X35">
        <v>89</v>
      </c>
      <c r="Y35">
        <v>89</v>
      </c>
      <c r="Z35">
        <v>3</v>
      </c>
      <c r="AA35">
        <v>6.62026052100112E+29</v>
      </c>
      <c r="AB35" s="2">
        <v>46175.578473807873</v>
      </c>
      <c r="AC35" t="s">
        <v>70</v>
      </c>
      <c r="AD35" t="s">
        <v>69</v>
      </c>
      <c r="AE35" t="s">
        <v>53</v>
      </c>
      <c r="AF35" t="s">
        <v>54</v>
      </c>
      <c r="AH35" s="2">
        <v>46163.007962962962</v>
      </c>
      <c r="AI35" t="s">
        <v>166</v>
      </c>
      <c r="AJ35" t="s">
        <v>167</v>
      </c>
      <c r="AK35">
        <v>0</v>
      </c>
      <c r="AL35">
        <v>0</v>
      </c>
      <c r="AM35">
        <v>0</v>
      </c>
      <c r="AN35">
        <v>0</v>
      </c>
      <c r="AO35">
        <v>0</v>
      </c>
      <c r="AP35" t="s">
        <v>57</v>
      </c>
      <c r="AQ35" t="s">
        <v>57</v>
      </c>
      <c r="AS35" t="s">
        <v>74</v>
      </c>
    </row>
    <row r="36" spans="1:45" x14ac:dyDescent="0.25">
      <c r="A36">
        <v>35</v>
      </c>
      <c r="B36">
        <v>35</v>
      </c>
      <c r="C36" t="s">
        <v>168</v>
      </c>
      <c r="D36" t="s">
        <v>46</v>
      </c>
      <c r="E36" t="s">
        <v>162</v>
      </c>
      <c r="F36">
        <v>102</v>
      </c>
      <c r="G36" s="1">
        <v>46162</v>
      </c>
      <c r="H36" s="2">
        <v>46163.009062500001</v>
      </c>
      <c r="I36" s="2">
        <v>46167.795243055552</v>
      </c>
      <c r="M36" t="s">
        <v>49</v>
      </c>
      <c r="N36" t="s">
        <v>50</v>
      </c>
      <c r="O36">
        <v>41</v>
      </c>
      <c r="P36">
        <v>861</v>
      </c>
      <c r="S36" t="s">
        <v>51</v>
      </c>
      <c r="T36">
        <v>861</v>
      </c>
      <c r="U36">
        <v>1</v>
      </c>
      <c r="V36">
        <v>1</v>
      </c>
      <c r="W36">
        <v>0</v>
      </c>
      <c r="X36">
        <v>0</v>
      </c>
      <c r="Y36">
        <v>0</v>
      </c>
      <c r="Z36">
        <v>3</v>
      </c>
      <c r="AB36" s="2">
        <v>46175.578473923611</v>
      </c>
      <c r="AC36" t="s">
        <v>52</v>
      </c>
      <c r="AD36" t="s">
        <v>51</v>
      </c>
      <c r="AE36" t="s">
        <v>53</v>
      </c>
      <c r="AF36" t="s">
        <v>54</v>
      </c>
      <c r="AH36" s="2">
        <v>46163.009062500001</v>
      </c>
      <c r="AI36" t="s">
        <v>169</v>
      </c>
      <c r="AJ36" t="s">
        <v>170</v>
      </c>
      <c r="AK36">
        <v>0</v>
      </c>
      <c r="AL36">
        <v>0</v>
      </c>
      <c r="AM36">
        <v>0</v>
      </c>
      <c r="AN36">
        <v>0</v>
      </c>
      <c r="AO36">
        <v>0</v>
      </c>
      <c r="AP36" t="s">
        <v>57</v>
      </c>
      <c r="AQ36" t="s">
        <v>57</v>
      </c>
      <c r="AS36" t="s">
        <v>58</v>
      </c>
    </row>
    <row r="37" spans="1:45" x14ac:dyDescent="0.25">
      <c r="A37">
        <v>36</v>
      </c>
      <c r="B37">
        <v>36</v>
      </c>
      <c r="C37" t="s">
        <v>171</v>
      </c>
      <c r="D37" t="s">
        <v>46</v>
      </c>
      <c r="E37" t="s">
        <v>162</v>
      </c>
      <c r="F37">
        <v>103</v>
      </c>
      <c r="G37" s="1">
        <v>46167</v>
      </c>
      <c r="H37" s="2">
        <v>46167.795324074075</v>
      </c>
      <c r="I37" s="2">
        <v>46167.795324074075</v>
      </c>
      <c r="M37" t="s">
        <v>49</v>
      </c>
      <c r="N37" t="s">
        <v>50</v>
      </c>
      <c r="O37">
        <v>41</v>
      </c>
      <c r="P37">
        <v>861</v>
      </c>
      <c r="S37" t="s">
        <v>51</v>
      </c>
      <c r="T37">
        <v>861</v>
      </c>
      <c r="U37">
        <v>881001</v>
      </c>
      <c r="V37">
        <v>881001</v>
      </c>
      <c r="W37">
        <v>0</v>
      </c>
      <c r="X37">
        <v>0</v>
      </c>
      <c r="Y37">
        <v>0</v>
      </c>
      <c r="Z37">
        <v>3</v>
      </c>
      <c r="AA37">
        <v>6.6202605251905105E+29</v>
      </c>
      <c r="AB37" s="2">
        <v>46175.57847403935</v>
      </c>
      <c r="AC37" t="s">
        <v>52</v>
      </c>
      <c r="AD37" t="s">
        <v>51</v>
      </c>
      <c r="AE37" t="s">
        <v>53</v>
      </c>
      <c r="AF37" t="s">
        <v>54</v>
      </c>
      <c r="AH37" s="2">
        <v>46167.795324074075</v>
      </c>
      <c r="AI37" t="s">
        <v>172</v>
      </c>
      <c r="AJ37" t="s">
        <v>173</v>
      </c>
      <c r="AK37">
        <v>0</v>
      </c>
      <c r="AL37">
        <v>0</v>
      </c>
      <c r="AM37">
        <v>0</v>
      </c>
      <c r="AN37">
        <v>0</v>
      </c>
      <c r="AO37">
        <v>0</v>
      </c>
      <c r="AP37" t="s">
        <v>57</v>
      </c>
      <c r="AQ37" t="s">
        <v>57</v>
      </c>
      <c r="AS37" t="s">
        <v>58</v>
      </c>
    </row>
    <row r="38" spans="1:45" x14ac:dyDescent="0.25">
      <c r="A38">
        <v>37</v>
      </c>
      <c r="B38">
        <v>39</v>
      </c>
      <c r="C38" t="s">
        <v>174</v>
      </c>
      <c r="D38" t="s">
        <v>46</v>
      </c>
      <c r="E38" t="s">
        <v>47</v>
      </c>
      <c r="F38">
        <v>168</v>
      </c>
      <c r="G38" s="1">
        <v>46175</v>
      </c>
      <c r="H38" s="2">
        <v>46175.593657407408</v>
      </c>
      <c r="I38" s="2">
        <v>46175.593657407408</v>
      </c>
      <c r="L38" t="s">
        <v>48</v>
      </c>
      <c r="M38" t="s">
        <v>49</v>
      </c>
      <c r="N38" t="s">
        <v>50</v>
      </c>
      <c r="O38">
        <v>41</v>
      </c>
      <c r="P38">
        <v>861</v>
      </c>
      <c r="S38" t="s">
        <v>51</v>
      </c>
      <c r="T38">
        <v>861</v>
      </c>
      <c r="U38">
        <v>1</v>
      </c>
      <c r="V38">
        <v>1</v>
      </c>
      <c r="W38">
        <v>0</v>
      </c>
      <c r="X38">
        <v>0</v>
      </c>
      <c r="Y38">
        <v>0</v>
      </c>
      <c r="Z38">
        <v>10</v>
      </c>
      <c r="AA38">
        <v>6.6202606021414499E+29</v>
      </c>
      <c r="AB38" s="2">
        <v>46175.593399803241</v>
      </c>
      <c r="AC38" t="s">
        <v>52</v>
      </c>
      <c r="AD38" t="s">
        <v>51</v>
      </c>
      <c r="AE38" t="s">
        <v>53</v>
      </c>
      <c r="AF38" t="s">
        <v>54</v>
      </c>
      <c r="AH38" s="2">
        <v>46175.593657407408</v>
      </c>
      <c r="AI38" t="s">
        <v>175</v>
      </c>
      <c r="AJ38" t="s">
        <v>176</v>
      </c>
      <c r="AK38">
        <v>0</v>
      </c>
      <c r="AL38">
        <v>0</v>
      </c>
      <c r="AM38">
        <v>0</v>
      </c>
      <c r="AN38">
        <v>0</v>
      </c>
      <c r="AO38">
        <v>0</v>
      </c>
      <c r="AP38" t="s">
        <v>57</v>
      </c>
      <c r="AQ38" t="s">
        <v>57</v>
      </c>
      <c r="AR38">
        <v>1001</v>
      </c>
      <c r="AS38" t="s">
        <v>58</v>
      </c>
    </row>
    <row r="39" spans="1:45" x14ac:dyDescent="0.25">
      <c r="A39">
        <v>38</v>
      </c>
      <c r="B39">
        <v>40</v>
      </c>
      <c r="C39" t="s">
        <v>177</v>
      </c>
      <c r="D39" t="s">
        <v>46</v>
      </c>
      <c r="E39" t="s">
        <v>47</v>
      </c>
      <c r="F39">
        <v>169</v>
      </c>
      <c r="G39" s="1">
        <v>46175</v>
      </c>
      <c r="H39" s="2">
        <v>46175.593668981484</v>
      </c>
      <c r="I39" s="2">
        <v>46175.598321759258</v>
      </c>
      <c r="J39" t="s">
        <v>88</v>
      </c>
      <c r="K39" t="s">
        <v>89</v>
      </c>
      <c r="L39" t="s">
        <v>48</v>
      </c>
      <c r="M39" t="s">
        <v>49</v>
      </c>
      <c r="N39" t="s">
        <v>50</v>
      </c>
      <c r="O39">
        <v>41</v>
      </c>
      <c r="P39">
        <v>861</v>
      </c>
      <c r="S39" t="s">
        <v>51</v>
      </c>
      <c r="T39">
        <v>861</v>
      </c>
      <c r="U39">
        <v>1</v>
      </c>
      <c r="V39">
        <v>1</v>
      </c>
      <c r="W39">
        <v>0</v>
      </c>
      <c r="X39">
        <v>0</v>
      </c>
      <c r="Y39">
        <v>0</v>
      </c>
      <c r="Z39">
        <v>10</v>
      </c>
      <c r="AA39">
        <v>6.6202606021414499E+29</v>
      </c>
      <c r="AB39" s="2">
        <v>46175.598260995372</v>
      </c>
      <c r="AC39" t="s">
        <v>70</v>
      </c>
      <c r="AD39" t="s">
        <v>51</v>
      </c>
      <c r="AE39" t="s">
        <v>53</v>
      </c>
      <c r="AF39" t="s">
        <v>54</v>
      </c>
      <c r="AH39" s="2">
        <v>46175.593668981484</v>
      </c>
      <c r="AI39" t="s">
        <v>178</v>
      </c>
      <c r="AJ39" t="s">
        <v>179</v>
      </c>
      <c r="AK39">
        <v>1</v>
      </c>
      <c r="AL39">
        <v>0</v>
      </c>
      <c r="AM39">
        <v>0</v>
      </c>
      <c r="AN39">
        <v>0</v>
      </c>
      <c r="AO39">
        <v>0</v>
      </c>
      <c r="AP39" t="s">
        <v>57</v>
      </c>
      <c r="AQ39" t="s">
        <v>57</v>
      </c>
      <c r="AR39">
        <v>1001</v>
      </c>
      <c r="AS39" t="s">
        <v>58</v>
      </c>
    </row>
    <row r="40" spans="1:45" x14ac:dyDescent="0.25">
      <c r="A40">
        <v>39</v>
      </c>
      <c r="B40">
        <v>41</v>
      </c>
      <c r="C40" t="s">
        <v>180</v>
      </c>
      <c r="D40" t="s">
        <v>46</v>
      </c>
      <c r="E40" t="s">
        <v>47</v>
      </c>
      <c r="F40">
        <v>170</v>
      </c>
      <c r="G40" s="1">
        <v>46175</v>
      </c>
      <c r="H40" s="2">
        <v>46175.598333333335</v>
      </c>
      <c r="I40" s="2">
        <v>46175.598356481481</v>
      </c>
      <c r="L40" t="s">
        <v>48</v>
      </c>
      <c r="M40" t="s">
        <v>49</v>
      </c>
      <c r="N40" t="s">
        <v>50</v>
      </c>
      <c r="O40">
        <v>41</v>
      </c>
      <c r="P40">
        <v>861</v>
      </c>
      <c r="S40" t="s">
        <v>51</v>
      </c>
      <c r="T40">
        <v>861</v>
      </c>
      <c r="U40">
        <v>1</v>
      </c>
      <c r="V40">
        <v>1</v>
      </c>
      <c r="W40">
        <v>0</v>
      </c>
      <c r="X40">
        <v>0</v>
      </c>
      <c r="Y40">
        <v>0</v>
      </c>
      <c r="Z40">
        <v>10</v>
      </c>
      <c r="AA40">
        <v>6.6202606021421297E+29</v>
      </c>
      <c r="AB40" s="2">
        <v>46175.598261076389</v>
      </c>
      <c r="AC40" t="s">
        <v>52</v>
      </c>
      <c r="AD40" t="s">
        <v>51</v>
      </c>
      <c r="AE40" t="s">
        <v>53</v>
      </c>
      <c r="AF40" t="s">
        <v>54</v>
      </c>
      <c r="AH40" s="2">
        <v>46175.598333333335</v>
      </c>
      <c r="AI40" t="s">
        <v>181</v>
      </c>
      <c r="AJ40" t="s">
        <v>182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57</v>
      </c>
      <c r="AQ40" t="s">
        <v>57</v>
      </c>
      <c r="AR40">
        <v>1001</v>
      </c>
      <c r="AS40" t="s">
        <v>58</v>
      </c>
    </row>
    <row r="41" spans="1:45" x14ac:dyDescent="0.25">
      <c r="A41">
        <v>40</v>
      </c>
      <c r="B41">
        <v>42</v>
      </c>
      <c r="C41" t="s">
        <v>183</v>
      </c>
      <c r="D41" t="s">
        <v>46</v>
      </c>
      <c r="E41" t="s">
        <v>47</v>
      </c>
      <c r="F41">
        <v>171</v>
      </c>
      <c r="G41" s="1">
        <v>46175</v>
      </c>
      <c r="H41" s="2">
        <v>46175.616990740738</v>
      </c>
      <c r="I41" s="2">
        <v>46175.616990740738</v>
      </c>
      <c r="L41" t="s">
        <v>48</v>
      </c>
      <c r="M41" t="s">
        <v>49</v>
      </c>
      <c r="N41" t="s">
        <v>50</v>
      </c>
      <c r="O41">
        <v>41</v>
      </c>
      <c r="P41">
        <v>861</v>
      </c>
      <c r="S41" t="s">
        <v>51</v>
      </c>
      <c r="T41">
        <v>861</v>
      </c>
      <c r="U41">
        <v>1</v>
      </c>
      <c r="V41">
        <v>1</v>
      </c>
      <c r="W41">
        <v>0</v>
      </c>
      <c r="X41">
        <v>0</v>
      </c>
      <c r="Y41">
        <v>0</v>
      </c>
      <c r="Z41">
        <v>10</v>
      </c>
      <c r="AA41">
        <v>6.6202606021448206E+29</v>
      </c>
      <c r="AB41" s="2">
        <v>46175.617011145834</v>
      </c>
      <c r="AC41" t="s">
        <v>52</v>
      </c>
      <c r="AD41" t="s">
        <v>51</v>
      </c>
      <c r="AE41" t="s">
        <v>53</v>
      </c>
      <c r="AF41" t="s">
        <v>54</v>
      </c>
      <c r="AH41" s="2">
        <v>46175.616990740738</v>
      </c>
      <c r="AI41" t="s">
        <v>184</v>
      </c>
      <c r="AJ41" t="s">
        <v>185</v>
      </c>
      <c r="AK41">
        <v>0</v>
      </c>
      <c r="AL41">
        <v>0</v>
      </c>
      <c r="AM41">
        <v>0</v>
      </c>
      <c r="AN41">
        <v>0</v>
      </c>
      <c r="AO41">
        <v>0</v>
      </c>
      <c r="AP41" t="s">
        <v>57</v>
      </c>
      <c r="AQ41" t="s">
        <v>57</v>
      </c>
      <c r="AR41">
        <v>1001</v>
      </c>
      <c r="AS41" t="s">
        <v>58</v>
      </c>
    </row>
    <row r="42" spans="1:45" x14ac:dyDescent="0.25">
      <c r="A42">
        <v>41</v>
      </c>
      <c r="B42">
        <v>43</v>
      </c>
      <c r="C42" t="s">
        <v>186</v>
      </c>
      <c r="D42" t="s">
        <v>46</v>
      </c>
      <c r="E42" t="s">
        <v>47</v>
      </c>
      <c r="F42">
        <v>172</v>
      </c>
      <c r="G42" s="1">
        <v>46175</v>
      </c>
      <c r="H42" s="2">
        <v>46175.617002314815</v>
      </c>
      <c r="I42" s="2">
        <v>46175.620763888888</v>
      </c>
      <c r="J42" t="s">
        <v>66</v>
      </c>
      <c r="K42" t="s">
        <v>67</v>
      </c>
      <c r="L42" t="s">
        <v>48</v>
      </c>
      <c r="M42" t="s">
        <v>49</v>
      </c>
      <c r="N42" t="s">
        <v>50</v>
      </c>
      <c r="O42">
        <v>41</v>
      </c>
      <c r="P42">
        <v>861</v>
      </c>
      <c r="Q42" t="s">
        <v>187</v>
      </c>
      <c r="R42" t="s">
        <v>187</v>
      </c>
      <c r="S42" t="s">
        <v>69</v>
      </c>
      <c r="T42">
        <v>861</v>
      </c>
      <c r="U42">
        <v>1</v>
      </c>
      <c r="V42">
        <v>1</v>
      </c>
      <c r="W42">
        <v>41</v>
      </c>
      <c r="X42">
        <v>-98000</v>
      </c>
      <c r="Y42">
        <v>-98000</v>
      </c>
      <c r="Z42">
        <v>10</v>
      </c>
      <c r="AA42">
        <v>6.6202606021448206E+29</v>
      </c>
      <c r="AB42" s="2">
        <v>46175.620483449071</v>
      </c>
      <c r="AC42" t="s">
        <v>70</v>
      </c>
      <c r="AD42" t="s">
        <v>51</v>
      </c>
      <c r="AE42" t="s">
        <v>53</v>
      </c>
      <c r="AF42" t="s">
        <v>54</v>
      </c>
      <c r="AH42" s="2">
        <v>46175.617002314815</v>
      </c>
      <c r="AI42" t="s">
        <v>188</v>
      </c>
      <c r="AJ42" t="s">
        <v>189</v>
      </c>
      <c r="AK42">
        <v>0</v>
      </c>
      <c r="AL42">
        <v>0</v>
      </c>
      <c r="AM42">
        <v>0</v>
      </c>
      <c r="AN42">
        <v>0</v>
      </c>
      <c r="AO42">
        <v>0</v>
      </c>
      <c r="AP42" t="s">
        <v>57</v>
      </c>
      <c r="AQ42" t="s">
        <v>57</v>
      </c>
      <c r="AR42">
        <v>1001</v>
      </c>
      <c r="AS42" t="s">
        <v>190</v>
      </c>
    </row>
    <row r="43" spans="1:45" x14ac:dyDescent="0.25">
      <c r="A43">
        <v>42</v>
      </c>
      <c r="B43">
        <v>44</v>
      </c>
      <c r="C43" t="s">
        <v>191</v>
      </c>
      <c r="D43" t="s">
        <v>46</v>
      </c>
      <c r="E43" t="s">
        <v>47</v>
      </c>
      <c r="F43">
        <v>173</v>
      </c>
      <c r="G43" s="1">
        <v>46175</v>
      </c>
      <c r="H43" s="2">
        <v>46175.620856481481</v>
      </c>
      <c r="I43" s="2">
        <v>46175.62158564815</v>
      </c>
      <c r="L43" t="s">
        <v>48</v>
      </c>
      <c r="M43" t="s">
        <v>49</v>
      </c>
      <c r="N43" t="s">
        <v>50</v>
      </c>
      <c r="O43">
        <v>41</v>
      </c>
      <c r="P43">
        <v>861</v>
      </c>
      <c r="S43" t="s">
        <v>51</v>
      </c>
      <c r="T43">
        <v>861</v>
      </c>
      <c r="U43">
        <v>1</v>
      </c>
      <c r="V43">
        <v>1</v>
      </c>
      <c r="W43">
        <v>0</v>
      </c>
      <c r="X43">
        <v>0</v>
      </c>
      <c r="Y43">
        <v>0</v>
      </c>
      <c r="Z43">
        <v>10</v>
      </c>
      <c r="AA43">
        <v>6.6202606021454004E+29</v>
      </c>
      <c r="AB43" s="2">
        <v>46175.62152508102</v>
      </c>
      <c r="AC43" t="s">
        <v>52</v>
      </c>
      <c r="AD43" t="s">
        <v>51</v>
      </c>
      <c r="AE43" t="s">
        <v>53</v>
      </c>
      <c r="AF43" t="s">
        <v>54</v>
      </c>
      <c r="AH43" s="2">
        <v>46175.620856481481</v>
      </c>
      <c r="AI43" t="s">
        <v>192</v>
      </c>
      <c r="AJ43" t="s">
        <v>193</v>
      </c>
      <c r="AK43">
        <v>0</v>
      </c>
      <c r="AL43">
        <v>0</v>
      </c>
      <c r="AM43">
        <v>0</v>
      </c>
      <c r="AN43">
        <v>0</v>
      </c>
      <c r="AO43">
        <v>0</v>
      </c>
      <c r="AP43" t="s">
        <v>57</v>
      </c>
      <c r="AQ43" t="s">
        <v>57</v>
      </c>
      <c r="AR43">
        <v>1001</v>
      </c>
      <c r="AS43" t="s">
        <v>58</v>
      </c>
    </row>
    <row r="44" spans="1:45" x14ac:dyDescent="0.25">
      <c r="A44">
        <v>43</v>
      </c>
      <c r="B44">
        <v>45</v>
      </c>
      <c r="C44" t="s">
        <v>194</v>
      </c>
      <c r="D44" t="s">
        <v>46</v>
      </c>
      <c r="E44" t="s">
        <v>47</v>
      </c>
      <c r="F44">
        <v>174</v>
      </c>
      <c r="G44" s="1">
        <v>46175</v>
      </c>
      <c r="H44" s="2">
        <v>46175.623043981483</v>
      </c>
      <c r="I44" s="2">
        <v>46175.623043981483</v>
      </c>
      <c r="L44" t="s">
        <v>48</v>
      </c>
      <c r="M44" t="s">
        <v>49</v>
      </c>
      <c r="N44" t="s">
        <v>50</v>
      </c>
      <c r="O44">
        <v>41</v>
      </c>
      <c r="P44">
        <v>861</v>
      </c>
      <c r="S44" t="s">
        <v>51</v>
      </c>
      <c r="T44">
        <v>861</v>
      </c>
      <c r="U44">
        <v>1</v>
      </c>
      <c r="V44">
        <v>1</v>
      </c>
      <c r="W44">
        <v>0</v>
      </c>
      <c r="X44">
        <v>0</v>
      </c>
      <c r="Y44">
        <v>0</v>
      </c>
      <c r="Z44">
        <v>10</v>
      </c>
      <c r="AA44">
        <v>6.62026060214571E+29</v>
      </c>
      <c r="AB44" s="2">
        <v>46175.622913969906</v>
      </c>
      <c r="AC44" t="s">
        <v>52</v>
      </c>
      <c r="AD44" t="s">
        <v>51</v>
      </c>
      <c r="AE44" t="s">
        <v>53</v>
      </c>
      <c r="AF44" t="s">
        <v>54</v>
      </c>
      <c r="AH44" s="2">
        <v>46175.623043981483</v>
      </c>
      <c r="AI44" t="s">
        <v>195</v>
      </c>
      <c r="AJ44" t="s">
        <v>196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57</v>
      </c>
      <c r="AQ44" t="s">
        <v>57</v>
      </c>
      <c r="AR44">
        <v>1001</v>
      </c>
      <c r="AS44" t="s">
        <v>58</v>
      </c>
    </row>
    <row r="45" spans="1:45" x14ac:dyDescent="0.25">
      <c r="A45">
        <v>44</v>
      </c>
      <c r="B45">
        <v>46</v>
      </c>
      <c r="C45" t="s">
        <v>197</v>
      </c>
      <c r="D45" t="s">
        <v>46</v>
      </c>
      <c r="E45" t="s">
        <v>47</v>
      </c>
      <c r="F45">
        <v>175</v>
      </c>
      <c r="G45" s="1">
        <v>46175</v>
      </c>
      <c r="H45" s="2">
        <v>46175.629780092589</v>
      </c>
      <c r="I45" s="2">
        <v>46175.630624999998</v>
      </c>
      <c r="J45" t="s">
        <v>88</v>
      </c>
      <c r="K45" t="s">
        <v>89</v>
      </c>
      <c r="L45" t="s">
        <v>48</v>
      </c>
      <c r="M45" t="s">
        <v>49</v>
      </c>
      <c r="N45" t="s">
        <v>50</v>
      </c>
      <c r="O45">
        <v>41</v>
      </c>
      <c r="P45">
        <v>861</v>
      </c>
      <c r="Q45" t="s">
        <v>68</v>
      </c>
      <c r="R45" t="s">
        <v>68</v>
      </c>
      <c r="S45" t="s">
        <v>69</v>
      </c>
      <c r="T45">
        <v>861</v>
      </c>
      <c r="U45">
        <v>1</v>
      </c>
      <c r="V45">
        <v>1</v>
      </c>
      <c r="W45">
        <v>42</v>
      </c>
      <c r="X45">
        <v>135</v>
      </c>
      <c r="Y45">
        <v>148.16</v>
      </c>
      <c r="Z45">
        <v>10</v>
      </c>
      <c r="AA45">
        <v>6.6202606021506499E+29</v>
      </c>
      <c r="AB45" s="2">
        <v>46175.630552743052</v>
      </c>
      <c r="AC45" t="s">
        <v>70</v>
      </c>
      <c r="AD45" t="s">
        <v>69</v>
      </c>
      <c r="AE45" t="s">
        <v>53</v>
      </c>
      <c r="AF45" t="s">
        <v>54</v>
      </c>
      <c r="AH45" s="2">
        <v>46175.629780092589</v>
      </c>
      <c r="AI45" t="s">
        <v>198</v>
      </c>
      <c r="AJ45" t="s">
        <v>199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57</v>
      </c>
      <c r="AQ45" t="s">
        <v>57</v>
      </c>
      <c r="AR45">
        <v>1001</v>
      </c>
      <c r="AS45" t="s">
        <v>74</v>
      </c>
    </row>
    <row r="46" spans="1:45" x14ac:dyDescent="0.25">
      <c r="A46">
        <v>45</v>
      </c>
      <c r="B46">
        <v>47</v>
      </c>
      <c r="C46" t="s">
        <v>200</v>
      </c>
      <c r="D46" t="s">
        <v>46</v>
      </c>
      <c r="E46" t="s">
        <v>47</v>
      </c>
      <c r="F46">
        <v>176</v>
      </c>
      <c r="G46" s="1">
        <v>46175</v>
      </c>
      <c r="H46" s="2">
        <v>46175.630682870367</v>
      </c>
      <c r="I46" s="2">
        <v>46175.631388888891</v>
      </c>
      <c r="L46" t="s">
        <v>48</v>
      </c>
      <c r="M46" t="s">
        <v>49</v>
      </c>
      <c r="N46" t="s">
        <v>50</v>
      </c>
      <c r="O46">
        <v>41</v>
      </c>
      <c r="P46">
        <v>861</v>
      </c>
      <c r="S46" t="s">
        <v>51</v>
      </c>
      <c r="T46">
        <v>861</v>
      </c>
      <c r="U46">
        <v>1</v>
      </c>
      <c r="V46">
        <v>1</v>
      </c>
      <c r="W46">
        <v>0</v>
      </c>
      <c r="X46">
        <v>0</v>
      </c>
      <c r="Y46">
        <v>0</v>
      </c>
      <c r="Z46">
        <v>10</v>
      </c>
      <c r="AA46">
        <v>6.6202606021508104E+29</v>
      </c>
      <c r="AB46" s="2">
        <v>46175.631247106481</v>
      </c>
      <c r="AC46" t="s">
        <v>52</v>
      </c>
      <c r="AD46" t="s">
        <v>51</v>
      </c>
      <c r="AE46" t="s">
        <v>53</v>
      </c>
      <c r="AF46" t="s">
        <v>54</v>
      </c>
      <c r="AH46" s="2">
        <v>46175.630682870367</v>
      </c>
      <c r="AI46" t="s">
        <v>201</v>
      </c>
      <c r="AJ46" t="s">
        <v>202</v>
      </c>
      <c r="AK46">
        <v>0</v>
      </c>
      <c r="AL46">
        <v>0</v>
      </c>
      <c r="AM46">
        <v>0</v>
      </c>
      <c r="AN46">
        <v>0</v>
      </c>
      <c r="AO46">
        <v>0</v>
      </c>
      <c r="AP46" t="s">
        <v>57</v>
      </c>
      <c r="AQ46" t="s">
        <v>57</v>
      </c>
      <c r="AR46">
        <v>1001</v>
      </c>
      <c r="AS46" t="s">
        <v>58</v>
      </c>
    </row>
    <row r="47" spans="1:45" x14ac:dyDescent="0.25">
      <c r="A47">
        <v>46</v>
      </c>
      <c r="B47">
        <v>48</v>
      </c>
      <c r="C47" t="s">
        <v>203</v>
      </c>
      <c r="D47" t="s">
        <v>46</v>
      </c>
      <c r="E47" t="s">
        <v>47</v>
      </c>
      <c r="F47">
        <v>177</v>
      </c>
      <c r="G47" s="1">
        <v>46175</v>
      </c>
      <c r="H47" s="2">
        <v>46175.641435185185</v>
      </c>
      <c r="I47" s="2">
        <v>46175.641435185185</v>
      </c>
      <c r="L47" t="s">
        <v>48</v>
      </c>
      <c r="M47" t="s">
        <v>49</v>
      </c>
      <c r="N47" t="s">
        <v>50</v>
      </c>
      <c r="O47">
        <v>41</v>
      </c>
      <c r="P47">
        <v>861</v>
      </c>
      <c r="S47" t="s">
        <v>51</v>
      </c>
      <c r="T47">
        <v>861</v>
      </c>
      <c r="U47">
        <v>1</v>
      </c>
      <c r="V47">
        <v>1</v>
      </c>
      <c r="W47">
        <v>0</v>
      </c>
      <c r="X47">
        <v>0</v>
      </c>
      <c r="Y47">
        <v>0</v>
      </c>
      <c r="Z47">
        <v>10</v>
      </c>
      <c r="AA47">
        <v>6.6202606021523402E+29</v>
      </c>
      <c r="AB47" s="2">
        <v>46175.641316701389</v>
      </c>
      <c r="AC47" t="s">
        <v>52</v>
      </c>
      <c r="AD47" t="s">
        <v>51</v>
      </c>
      <c r="AE47" t="s">
        <v>53</v>
      </c>
      <c r="AF47" t="s">
        <v>54</v>
      </c>
      <c r="AH47" s="2">
        <v>46175.641435185185</v>
      </c>
      <c r="AI47" t="s">
        <v>204</v>
      </c>
      <c r="AJ47" t="s">
        <v>205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57</v>
      </c>
      <c r="AQ47" t="s">
        <v>57</v>
      </c>
      <c r="AR47">
        <v>1001</v>
      </c>
      <c r="AS47" t="s">
        <v>58</v>
      </c>
    </row>
    <row r="48" spans="1:45" x14ac:dyDescent="0.25">
      <c r="A48">
        <v>47</v>
      </c>
      <c r="B48">
        <v>49</v>
      </c>
      <c r="C48" t="s">
        <v>206</v>
      </c>
      <c r="D48" t="s">
        <v>46</v>
      </c>
      <c r="E48" t="s">
        <v>47</v>
      </c>
      <c r="F48">
        <v>178</v>
      </c>
      <c r="G48" s="1">
        <v>46175</v>
      </c>
      <c r="H48" s="2">
        <v>46175.642129629632</v>
      </c>
      <c r="I48" s="2">
        <v>46175.645520833335</v>
      </c>
      <c r="J48" t="s">
        <v>88</v>
      </c>
      <c r="K48" t="s">
        <v>89</v>
      </c>
      <c r="L48" t="s">
        <v>48</v>
      </c>
      <c r="M48" t="s">
        <v>49</v>
      </c>
      <c r="N48" t="s">
        <v>50</v>
      </c>
      <c r="O48">
        <v>41</v>
      </c>
      <c r="P48">
        <v>861</v>
      </c>
      <c r="Q48" t="s">
        <v>68</v>
      </c>
      <c r="R48" t="s">
        <v>68</v>
      </c>
      <c r="S48" t="s">
        <v>69</v>
      </c>
      <c r="T48">
        <v>861</v>
      </c>
      <c r="U48">
        <v>1</v>
      </c>
      <c r="V48">
        <v>1</v>
      </c>
      <c r="W48">
        <v>43</v>
      </c>
      <c r="X48">
        <v>972</v>
      </c>
      <c r="Y48">
        <v>1066.77</v>
      </c>
      <c r="Z48">
        <v>10</v>
      </c>
      <c r="AA48">
        <v>6.6202606021524401E+29</v>
      </c>
      <c r="AB48" s="2">
        <v>46175.645483483793</v>
      </c>
      <c r="AC48" t="s">
        <v>70</v>
      </c>
      <c r="AD48" t="s">
        <v>69</v>
      </c>
      <c r="AE48" t="s">
        <v>53</v>
      </c>
      <c r="AF48" t="s">
        <v>54</v>
      </c>
      <c r="AH48" s="2">
        <v>46175.642129629632</v>
      </c>
      <c r="AI48" t="s">
        <v>207</v>
      </c>
      <c r="AJ48" t="s">
        <v>208</v>
      </c>
      <c r="AK48">
        <v>0</v>
      </c>
      <c r="AL48">
        <v>0</v>
      </c>
      <c r="AM48">
        <v>0</v>
      </c>
      <c r="AN48">
        <v>0</v>
      </c>
      <c r="AO48">
        <v>0</v>
      </c>
      <c r="AP48" t="s">
        <v>57</v>
      </c>
      <c r="AQ48" t="s">
        <v>57</v>
      </c>
      <c r="AR48">
        <v>1001</v>
      </c>
      <c r="AS48" t="s">
        <v>74</v>
      </c>
    </row>
    <row r="49" spans="1:45" x14ac:dyDescent="0.25">
      <c r="A49">
        <v>48</v>
      </c>
      <c r="B49">
        <v>50</v>
      </c>
      <c r="C49" t="s">
        <v>209</v>
      </c>
      <c r="D49" t="s">
        <v>46</v>
      </c>
      <c r="E49" t="s">
        <v>47</v>
      </c>
      <c r="F49">
        <v>179</v>
      </c>
      <c r="G49" s="1">
        <v>46175</v>
      </c>
      <c r="H49" s="2">
        <v>46175.645578703705</v>
      </c>
      <c r="I49" s="2">
        <v>46175.64638888889</v>
      </c>
      <c r="L49" t="s">
        <v>48</v>
      </c>
      <c r="M49" t="s">
        <v>49</v>
      </c>
      <c r="N49" t="s">
        <v>50</v>
      </c>
      <c r="O49">
        <v>41</v>
      </c>
      <c r="P49">
        <v>861</v>
      </c>
      <c r="S49" t="s">
        <v>51</v>
      </c>
      <c r="T49">
        <v>861</v>
      </c>
      <c r="U49">
        <v>1</v>
      </c>
      <c r="V49">
        <v>1</v>
      </c>
      <c r="W49">
        <v>0</v>
      </c>
      <c r="X49">
        <v>0</v>
      </c>
      <c r="Y49">
        <v>0</v>
      </c>
      <c r="Z49">
        <v>10</v>
      </c>
      <c r="AA49">
        <v>6.6202606021529299E+29</v>
      </c>
      <c r="AB49" s="2">
        <v>46175.646177858798</v>
      </c>
      <c r="AC49" t="s">
        <v>52</v>
      </c>
      <c r="AD49" t="s">
        <v>51</v>
      </c>
      <c r="AE49" t="s">
        <v>53</v>
      </c>
      <c r="AF49" t="s">
        <v>54</v>
      </c>
      <c r="AH49" s="2">
        <v>46175.645578703705</v>
      </c>
      <c r="AI49" t="s">
        <v>210</v>
      </c>
      <c r="AJ49" t="s">
        <v>211</v>
      </c>
      <c r="AK49">
        <v>0</v>
      </c>
      <c r="AL49">
        <v>0</v>
      </c>
      <c r="AM49">
        <v>0</v>
      </c>
      <c r="AN49">
        <v>0</v>
      </c>
      <c r="AO49">
        <v>0</v>
      </c>
      <c r="AP49" t="s">
        <v>57</v>
      </c>
      <c r="AQ49" t="s">
        <v>57</v>
      </c>
      <c r="AR49">
        <v>1001</v>
      </c>
      <c r="AS49" t="s">
        <v>58</v>
      </c>
    </row>
    <row r="50" spans="1:45" x14ac:dyDescent="0.25">
      <c r="A50">
        <v>49</v>
      </c>
      <c r="B50">
        <v>51</v>
      </c>
      <c r="C50" t="s">
        <v>212</v>
      </c>
      <c r="D50" t="s">
        <v>46</v>
      </c>
      <c r="E50" t="s">
        <v>47</v>
      </c>
      <c r="F50">
        <v>180</v>
      </c>
      <c r="G50" s="1">
        <v>46175</v>
      </c>
      <c r="H50" s="2">
        <v>46178.273101851853</v>
      </c>
      <c r="I50" s="2">
        <v>46178.273101851853</v>
      </c>
      <c r="L50" t="s">
        <v>48</v>
      </c>
      <c r="M50" t="s">
        <v>49</v>
      </c>
      <c r="N50" t="s">
        <v>50</v>
      </c>
      <c r="O50">
        <v>41</v>
      </c>
      <c r="P50">
        <v>861</v>
      </c>
      <c r="S50" t="s">
        <v>51</v>
      </c>
      <c r="T50">
        <v>861</v>
      </c>
      <c r="U50">
        <v>1</v>
      </c>
      <c r="V50">
        <v>1</v>
      </c>
      <c r="W50">
        <v>0</v>
      </c>
      <c r="X50">
        <v>0</v>
      </c>
      <c r="Y50">
        <v>0</v>
      </c>
      <c r="Z50">
        <v>10</v>
      </c>
      <c r="AA50">
        <v>6.6202606050633094E+29</v>
      </c>
      <c r="AB50" s="2">
        <v>46178.272919641204</v>
      </c>
      <c r="AC50" t="s">
        <v>52</v>
      </c>
      <c r="AD50" t="s">
        <v>51</v>
      </c>
      <c r="AE50" t="s">
        <v>53</v>
      </c>
      <c r="AF50" t="s">
        <v>54</v>
      </c>
      <c r="AH50" s="2">
        <v>46178.273101851853</v>
      </c>
      <c r="AI50" t="s">
        <v>213</v>
      </c>
      <c r="AJ50" t="s">
        <v>214</v>
      </c>
      <c r="AK50">
        <v>0</v>
      </c>
      <c r="AL50">
        <v>0</v>
      </c>
      <c r="AM50">
        <v>0</v>
      </c>
      <c r="AN50">
        <v>0</v>
      </c>
      <c r="AO50">
        <v>0</v>
      </c>
      <c r="AP50" t="s">
        <v>57</v>
      </c>
      <c r="AQ50" t="s">
        <v>57</v>
      </c>
      <c r="AR50">
        <v>1001</v>
      </c>
      <c r="AS50" t="s">
        <v>58</v>
      </c>
    </row>
    <row r="51" spans="1:45" x14ac:dyDescent="0.25">
      <c r="A51">
        <v>50</v>
      </c>
      <c r="B51">
        <v>52</v>
      </c>
      <c r="C51" t="s">
        <v>215</v>
      </c>
      <c r="D51" t="s">
        <v>46</v>
      </c>
      <c r="E51" t="s">
        <v>47</v>
      </c>
      <c r="F51">
        <v>181</v>
      </c>
      <c r="G51" s="1">
        <v>46175</v>
      </c>
      <c r="H51" s="2">
        <v>46178.273136574076</v>
      </c>
      <c r="I51" s="2">
        <v>46178.273159722223</v>
      </c>
      <c r="L51" t="s">
        <v>48</v>
      </c>
      <c r="M51" t="s">
        <v>49</v>
      </c>
      <c r="N51" t="s">
        <v>50</v>
      </c>
      <c r="O51">
        <v>41</v>
      </c>
      <c r="P51">
        <v>861</v>
      </c>
      <c r="S51" t="s">
        <v>51</v>
      </c>
      <c r="T51">
        <v>861</v>
      </c>
      <c r="U51">
        <v>1</v>
      </c>
      <c r="V51">
        <v>1</v>
      </c>
      <c r="W51">
        <v>0</v>
      </c>
      <c r="X51">
        <v>0</v>
      </c>
      <c r="Y51">
        <v>0</v>
      </c>
      <c r="Z51">
        <v>10</v>
      </c>
      <c r="AB51" s="2">
        <v>46178.272919756942</v>
      </c>
      <c r="AC51" t="s">
        <v>52</v>
      </c>
      <c r="AD51" t="s">
        <v>51</v>
      </c>
      <c r="AE51" t="s">
        <v>53</v>
      </c>
      <c r="AF51" t="s">
        <v>54</v>
      </c>
      <c r="AH51" s="2">
        <v>46178.273136574076</v>
      </c>
      <c r="AI51" t="s">
        <v>216</v>
      </c>
      <c r="AJ51" t="s">
        <v>217</v>
      </c>
      <c r="AK51">
        <v>0</v>
      </c>
      <c r="AL51">
        <v>0</v>
      </c>
      <c r="AM51">
        <v>0</v>
      </c>
      <c r="AN51">
        <v>0</v>
      </c>
      <c r="AO51">
        <v>0</v>
      </c>
      <c r="AP51" t="s">
        <v>57</v>
      </c>
      <c r="AQ51" t="s">
        <v>57</v>
      </c>
      <c r="AR51">
        <v>1001</v>
      </c>
      <c r="AS51" t="s">
        <v>58</v>
      </c>
    </row>
    <row r="52" spans="1:45" x14ac:dyDescent="0.25">
      <c r="A52">
        <v>51</v>
      </c>
      <c r="B52">
        <v>53</v>
      </c>
      <c r="C52" t="s">
        <v>218</v>
      </c>
      <c r="D52" t="s">
        <v>46</v>
      </c>
      <c r="E52" t="s">
        <v>47</v>
      </c>
      <c r="F52">
        <v>182</v>
      </c>
      <c r="G52" s="1">
        <v>46178</v>
      </c>
      <c r="H52" s="2">
        <v>46178.273252314815</v>
      </c>
      <c r="I52" s="2">
        <v>46178.273252314815</v>
      </c>
      <c r="L52" t="s">
        <v>48</v>
      </c>
      <c r="M52" t="s">
        <v>49</v>
      </c>
      <c r="N52" t="s">
        <v>50</v>
      </c>
      <c r="O52">
        <v>41</v>
      </c>
      <c r="P52">
        <v>861</v>
      </c>
      <c r="S52" t="s">
        <v>51</v>
      </c>
      <c r="T52">
        <v>861</v>
      </c>
      <c r="U52">
        <v>1</v>
      </c>
      <c r="V52">
        <v>1</v>
      </c>
      <c r="W52">
        <v>0</v>
      </c>
      <c r="X52">
        <v>0</v>
      </c>
      <c r="Y52">
        <v>0</v>
      </c>
      <c r="Z52">
        <v>10</v>
      </c>
      <c r="AA52">
        <v>6.6202606050633206E+29</v>
      </c>
      <c r="AB52" s="2">
        <v>46178.273266863427</v>
      </c>
      <c r="AC52" t="s">
        <v>52</v>
      </c>
      <c r="AD52" t="s">
        <v>51</v>
      </c>
      <c r="AE52" t="s">
        <v>53</v>
      </c>
      <c r="AF52" t="s">
        <v>54</v>
      </c>
      <c r="AH52" s="2">
        <v>46178.273252314815</v>
      </c>
      <c r="AI52" t="s">
        <v>219</v>
      </c>
      <c r="AJ52" t="s">
        <v>220</v>
      </c>
      <c r="AK52">
        <v>0</v>
      </c>
      <c r="AL52">
        <v>0</v>
      </c>
      <c r="AM52">
        <v>0</v>
      </c>
      <c r="AN52">
        <v>0</v>
      </c>
      <c r="AO52">
        <v>0</v>
      </c>
      <c r="AP52" t="s">
        <v>57</v>
      </c>
      <c r="AQ52" t="s">
        <v>57</v>
      </c>
      <c r="AR52">
        <v>1001</v>
      </c>
      <c r="AS52" t="s">
        <v>58</v>
      </c>
    </row>
    <row r="53" spans="1:45" x14ac:dyDescent="0.25">
      <c r="A53">
        <v>52</v>
      </c>
      <c r="B53">
        <v>54</v>
      </c>
      <c r="C53" t="s">
        <v>221</v>
      </c>
      <c r="D53" t="s">
        <v>46</v>
      </c>
      <c r="E53" t="s">
        <v>47</v>
      </c>
      <c r="F53">
        <v>183</v>
      </c>
      <c r="G53" s="1">
        <v>46178</v>
      </c>
      <c r="H53" s="2">
        <v>46178.273263888892</v>
      </c>
      <c r="I53" s="2">
        <v>46178.274270833332</v>
      </c>
      <c r="L53" t="s">
        <v>48</v>
      </c>
      <c r="M53" t="s">
        <v>49</v>
      </c>
      <c r="N53" t="s">
        <v>50</v>
      </c>
      <c r="O53">
        <v>41</v>
      </c>
      <c r="P53">
        <v>861</v>
      </c>
      <c r="S53" t="s">
        <v>51</v>
      </c>
      <c r="T53">
        <v>861</v>
      </c>
      <c r="U53">
        <v>1</v>
      </c>
      <c r="V53">
        <v>1</v>
      </c>
      <c r="W53">
        <v>0</v>
      </c>
      <c r="X53">
        <v>0</v>
      </c>
      <c r="Y53">
        <v>0</v>
      </c>
      <c r="Z53">
        <v>10</v>
      </c>
      <c r="AA53">
        <v>6.6202606050633305E+29</v>
      </c>
      <c r="AB53" s="2">
        <v>46178.27430853009</v>
      </c>
      <c r="AC53" t="s">
        <v>52</v>
      </c>
      <c r="AD53" t="s">
        <v>51</v>
      </c>
      <c r="AE53" t="s">
        <v>53</v>
      </c>
      <c r="AF53" t="s">
        <v>54</v>
      </c>
      <c r="AH53" s="2">
        <v>46178.273263888892</v>
      </c>
      <c r="AI53" t="s">
        <v>222</v>
      </c>
      <c r="AJ53" t="s">
        <v>223</v>
      </c>
      <c r="AK53">
        <v>0</v>
      </c>
      <c r="AL53">
        <v>0</v>
      </c>
      <c r="AM53">
        <v>0</v>
      </c>
      <c r="AN53">
        <v>0</v>
      </c>
      <c r="AO53">
        <v>0</v>
      </c>
      <c r="AP53" t="s">
        <v>57</v>
      </c>
      <c r="AQ53" t="s">
        <v>57</v>
      </c>
      <c r="AR53">
        <v>1001</v>
      </c>
      <c r="AS53" t="s">
        <v>58</v>
      </c>
    </row>
    <row r="54" spans="1:45" x14ac:dyDescent="0.25">
      <c r="A54">
        <v>53</v>
      </c>
      <c r="B54">
        <v>55</v>
      </c>
      <c r="C54" t="s">
        <v>224</v>
      </c>
      <c r="D54" t="s">
        <v>46</v>
      </c>
      <c r="E54" t="s">
        <v>47</v>
      </c>
      <c r="F54">
        <v>184</v>
      </c>
      <c r="G54" s="1">
        <v>46178</v>
      </c>
      <c r="H54" s="2">
        <v>46178.275520833333</v>
      </c>
      <c r="I54" s="2">
        <v>46178.275520833333</v>
      </c>
      <c r="L54" t="s">
        <v>48</v>
      </c>
      <c r="M54" t="s">
        <v>49</v>
      </c>
      <c r="N54" t="s">
        <v>50</v>
      </c>
      <c r="O54">
        <v>41</v>
      </c>
      <c r="P54">
        <v>861</v>
      </c>
      <c r="S54" t="s">
        <v>51</v>
      </c>
      <c r="T54">
        <v>861</v>
      </c>
      <c r="U54">
        <v>1</v>
      </c>
      <c r="V54">
        <v>1</v>
      </c>
      <c r="W54">
        <v>0</v>
      </c>
      <c r="X54">
        <v>0</v>
      </c>
      <c r="Y54">
        <v>0</v>
      </c>
      <c r="Z54">
        <v>10</v>
      </c>
      <c r="AA54">
        <v>6.6202606050636401E+29</v>
      </c>
      <c r="AB54" s="2">
        <v>46178.27535019676</v>
      </c>
      <c r="AC54" t="s">
        <v>52</v>
      </c>
      <c r="AD54" t="s">
        <v>51</v>
      </c>
      <c r="AE54" t="s">
        <v>53</v>
      </c>
      <c r="AF54" t="s">
        <v>54</v>
      </c>
      <c r="AH54" s="2">
        <v>46178.275520833333</v>
      </c>
      <c r="AI54" t="s">
        <v>225</v>
      </c>
      <c r="AJ54" t="s">
        <v>226</v>
      </c>
      <c r="AK54">
        <v>0</v>
      </c>
      <c r="AL54">
        <v>0</v>
      </c>
      <c r="AM54">
        <v>0</v>
      </c>
      <c r="AN54">
        <v>0</v>
      </c>
      <c r="AO54">
        <v>0</v>
      </c>
      <c r="AP54" t="s">
        <v>57</v>
      </c>
      <c r="AQ54" t="s">
        <v>57</v>
      </c>
      <c r="AR54">
        <v>1001</v>
      </c>
      <c r="AS54" t="s">
        <v>58</v>
      </c>
    </row>
    <row r="55" spans="1:45" x14ac:dyDescent="0.25">
      <c r="A55">
        <v>54</v>
      </c>
      <c r="B55">
        <v>56</v>
      </c>
      <c r="C55" t="s">
        <v>227</v>
      </c>
      <c r="D55" t="s">
        <v>46</v>
      </c>
      <c r="E55" t="s">
        <v>47</v>
      </c>
      <c r="F55">
        <v>185</v>
      </c>
      <c r="G55" s="1">
        <v>46178</v>
      </c>
      <c r="H55" s="2">
        <v>46178.278391203705</v>
      </c>
      <c r="I55" s="2">
        <v>46178.28696759259</v>
      </c>
      <c r="J55" t="s">
        <v>88</v>
      </c>
      <c r="K55" t="s">
        <v>89</v>
      </c>
      <c r="L55" t="s">
        <v>48</v>
      </c>
      <c r="M55" t="s">
        <v>49</v>
      </c>
      <c r="N55" t="s">
        <v>50</v>
      </c>
      <c r="O55">
        <v>41</v>
      </c>
      <c r="P55">
        <v>861</v>
      </c>
      <c r="Q55" t="s">
        <v>68</v>
      </c>
      <c r="R55" t="s">
        <v>68</v>
      </c>
      <c r="S55" t="s">
        <v>69</v>
      </c>
      <c r="T55">
        <v>861</v>
      </c>
      <c r="U55">
        <v>1</v>
      </c>
      <c r="V55">
        <v>1</v>
      </c>
      <c r="W55">
        <v>44</v>
      </c>
      <c r="X55">
        <v>151</v>
      </c>
      <c r="Y55">
        <v>164.16</v>
      </c>
      <c r="Z55">
        <v>10</v>
      </c>
      <c r="AA55">
        <v>6.6202606050640496E+29</v>
      </c>
      <c r="AB55" s="2">
        <v>46178.286808564815</v>
      </c>
      <c r="AC55" t="s">
        <v>70</v>
      </c>
      <c r="AD55" t="s">
        <v>69</v>
      </c>
      <c r="AE55" t="s">
        <v>53</v>
      </c>
      <c r="AF55" t="s">
        <v>54</v>
      </c>
      <c r="AH55" s="2">
        <v>46178.278391203705</v>
      </c>
      <c r="AI55" t="s">
        <v>228</v>
      </c>
      <c r="AJ55" t="s">
        <v>229</v>
      </c>
      <c r="AK55">
        <v>0</v>
      </c>
      <c r="AL55">
        <v>0</v>
      </c>
      <c r="AM55">
        <v>0</v>
      </c>
      <c r="AN55">
        <v>0</v>
      </c>
      <c r="AO55">
        <v>0</v>
      </c>
      <c r="AP55" t="s">
        <v>57</v>
      </c>
      <c r="AQ55" t="s">
        <v>57</v>
      </c>
      <c r="AR55">
        <v>1001</v>
      </c>
      <c r="AS55" t="s">
        <v>74</v>
      </c>
    </row>
    <row r="56" spans="1:45" x14ac:dyDescent="0.25">
      <c r="A56">
        <v>55</v>
      </c>
      <c r="B56">
        <v>57</v>
      </c>
      <c r="C56" t="s">
        <v>230</v>
      </c>
      <c r="D56" t="s">
        <v>46</v>
      </c>
      <c r="E56" t="s">
        <v>47</v>
      </c>
      <c r="F56">
        <v>186</v>
      </c>
      <c r="G56" s="1">
        <v>46178</v>
      </c>
      <c r="H56" s="2">
        <v>46178.28702546296</v>
      </c>
      <c r="I56" s="2">
        <v>46178.288043981483</v>
      </c>
      <c r="L56" t="s">
        <v>48</v>
      </c>
      <c r="M56" t="s">
        <v>49</v>
      </c>
      <c r="N56" t="s">
        <v>50</v>
      </c>
      <c r="O56">
        <v>41</v>
      </c>
      <c r="P56">
        <v>861</v>
      </c>
      <c r="S56" t="s">
        <v>51</v>
      </c>
      <c r="T56">
        <v>861</v>
      </c>
      <c r="U56">
        <v>1</v>
      </c>
      <c r="V56">
        <v>1</v>
      </c>
      <c r="W56">
        <v>0</v>
      </c>
      <c r="X56">
        <v>0</v>
      </c>
      <c r="Y56">
        <v>0</v>
      </c>
      <c r="Z56">
        <v>10</v>
      </c>
      <c r="AA56">
        <v>6.6202606050653107E+29</v>
      </c>
      <c r="AB56" s="2">
        <v>46178.287850231478</v>
      </c>
      <c r="AC56" t="s">
        <v>52</v>
      </c>
      <c r="AD56" t="s">
        <v>51</v>
      </c>
      <c r="AE56" t="s">
        <v>53</v>
      </c>
      <c r="AF56" t="s">
        <v>54</v>
      </c>
      <c r="AH56" s="2">
        <v>46178.28702546296</v>
      </c>
      <c r="AI56" t="s">
        <v>231</v>
      </c>
      <c r="AJ56" t="s">
        <v>232</v>
      </c>
      <c r="AK56">
        <v>0</v>
      </c>
      <c r="AL56">
        <v>0</v>
      </c>
      <c r="AM56">
        <v>0</v>
      </c>
      <c r="AN56">
        <v>0</v>
      </c>
      <c r="AO56">
        <v>0</v>
      </c>
      <c r="AP56" t="s">
        <v>57</v>
      </c>
      <c r="AQ56" t="s">
        <v>57</v>
      </c>
      <c r="AR56">
        <v>1001</v>
      </c>
      <c r="AS56" t="s">
        <v>58</v>
      </c>
    </row>
    <row r="57" spans="1:45" x14ac:dyDescent="0.25">
      <c r="A57">
        <v>56</v>
      </c>
      <c r="B57">
        <v>58</v>
      </c>
      <c r="C57" t="s">
        <v>233</v>
      </c>
      <c r="D57" t="s">
        <v>46</v>
      </c>
      <c r="E57" t="s">
        <v>47</v>
      </c>
      <c r="F57">
        <v>187</v>
      </c>
      <c r="G57" s="1">
        <v>46178</v>
      </c>
      <c r="H57" s="2">
        <v>46178.294976851852</v>
      </c>
      <c r="I57" s="2">
        <v>46178.294976851852</v>
      </c>
      <c r="L57" t="s">
        <v>48</v>
      </c>
      <c r="M57" t="s">
        <v>49</v>
      </c>
      <c r="N57" t="s">
        <v>50</v>
      </c>
      <c r="O57">
        <v>41</v>
      </c>
      <c r="P57">
        <v>861</v>
      </c>
      <c r="S57" t="s">
        <v>51</v>
      </c>
      <c r="T57">
        <v>861</v>
      </c>
      <c r="U57">
        <v>1</v>
      </c>
      <c r="V57">
        <v>1</v>
      </c>
      <c r="W57">
        <v>0</v>
      </c>
      <c r="X57">
        <v>0</v>
      </c>
      <c r="Y57">
        <v>0</v>
      </c>
      <c r="Z57">
        <v>10</v>
      </c>
      <c r="AA57">
        <v>6.6202606050704405E+29</v>
      </c>
      <c r="AB57" s="2">
        <v>46178.294794560185</v>
      </c>
      <c r="AC57" t="s">
        <v>52</v>
      </c>
      <c r="AD57" t="s">
        <v>51</v>
      </c>
      <c r="AE57" t="s">
        <v>53</v>
      </c>
      <c r="AF57" t="s">
        <v>54</v>
      </c>
      <c r="AH57" s="2">
        <v>46178.294976851852</v>
      </c>
      <c r="AI57" t="s">
        <v>234</v>
      </c>
      <c r="AJ57" t="s">
        <v>235</v>
      </c>
      <c r="AK57">
        <v>0</v>
      </c>
      <c r="AL57">
        <v>0</v>
      </c>
      <c r="AM57">
        <v>0</v>
      </c>
      <c r="AN57">
        <v>0</v>
      </c>
      <c r="AO57">
        <v>0</v>
      </c>
      <c r="AP57" t="s">
        <v>57</v>
      </c>
      <c r="AQ57" t="s">
        <v>57</v>
      </c>
      <c r="AR57">
        <v>1001</v>
      </c>
      <c r="AS57" t="s">
        <v>58</v>
      </c>
    </row>
    <row r="58" spans="1:45" x14ac:dyDescent="0.25">
      <c r="A58">
        <v>57</v>
      </c>
      <c r="B58">
        <v>59</v>
      </c>
      <c r="C58" t="s">
        <v>236</v>
      </c>
      <c r="D58" t="s">
        <v>46</v>
      </c>
      <c r="E58" t="s">
        <v>47</v>
      </c>
      <c r="F58">
        <v>188</v>
      </c>
      <c r="G58" s="1">
        <v>46178</v>
      </c>
      <c r="H58" s="2">
        <v>46178.294976851852</v>
      </c>
      <c r="I58" s="2">
        <v>46178.298530092594</v>
      </c>
      <c r="J58" t="s">
        <v>88</v>
      </c>
      <c r="K58" t="s">
        <v>89</v>
      </c>
      <c r="L58" t="s">
        <v>48</v>
      </c>
      <c r="M58" t="s">
        <v>49</v>
      </c>
      <c r="N58" t="s">
        <v>50</v>
      </c>
      <c r="O58">
        <v>41</v>
      </c>
      <c r="P58">
        <v>861</v>
      </c>
      <c r="Q58" t="s">
        <v>187</v>
      </c>
      <c r="R58" t="s">
        <v>187</v>
      </c>
      <c r="S58" t="s">
        <v>69</v>
      </c>
      <c r="T58">
        <v>861</v>
      </c>
      <c r="U58">
        <v>1</v>
      </c>
      <c r="V58">
        <v>1</v>
      </c>
      <c r="W58">
        <v>45</v>
      </c>
      <c r="X58">
        <v>-151</v>
      </c>
      <c r="Y58">
        <v>-164.16</v>
      </c>
      <c r="Z58">
        <v>10</v>
      </c>
      <c r="AA58">
        <v>6.6202606050704405E+29</v>
      </c>
      <c r="AB58" s="2">
        <v>46178.298266782411</v>
      </c>
      <c r="AC58" t="s">
        <v>70</v>
      </c>
      <c r="AD58" t="s">
        <v>51</v>
      </c>
      <c r="AE58" t="s">
        <v>53</v>
      </c>
      <c r="AF58" t="s">
        <v>54</v>
      </c>
      <c r="AH58" s="2">
        <v>46178.294976851852</v>
      </c>
      <c r="AI58" t="s">
        <v>237</v>
      </c>
      <c r="AJ58" t="s">
        <v>238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57</v>
      </c>
      <c r="AQ58" t="s">
        <v>57</v>
      </c>
      <c r="AR58">
        <v>1001</v>
      </c>
      <c r="AS58" t="s">
        <v>190</v>
      </c>
    </row>
    <row r="59" spans="1:45" x14ac:dyDescent="0.25">
      <c r="A59">
        <v>58</v>
      </c>
      <c r="B59">
        <v>60</v>
      </c>
      <c r="C59" t="s">
        <v>239</v>
      </c>
      <c r="D59" t="s">
        <v>46</v>
      </c>
      <c r="E59" t="s">
        <v>47</v>
      </c>
      <c r="F59">
        <v>189</v>
      </c>
      <c r="G59" s="1">
        <v>46178</v>
      </c>
      <c r="H59" s="2">
        <v>46178.298622685186</v>
      </c>
      <c r="I59" s="2">
        <v>46178.299340277779</v>
      </c>
      <c r="L59" t="s">
        <v>48</v>
      </c>
      <c r="M59" t="s">
        <v>49</v>
      </c>
      <c r="N59" t="s">
        <v>50</v>
      </c>
      <c r="O59">
        <v>41</v>
      </c>
      <c r="P59">
        <v>861</v>
      </c>
      <c r="S59" t="s">
        <v>51</v>
      </c>
      <c r="T59">
        <v>861</v>
      </c>
      <c r="U59">
        <v>1</v>
      </c>
      <c r="V59">
        <v>1</v>
      </c>
      <c r="W59">
        <v>0</v>
      </c>
      <c r="X59">
        <v>0</v>
      </c>
      <c r="Y59">
        <v>0</v>
      </c>
      <c r="Z59">
        <v>10</v>
      </c>
      <c r="AA59">
        <v>6.6202606050710007E+29</v>
      </c>
      <c r="AB59" s="2">
        <v>46178.299308368056</v>
      </c>
      <c r="AC59" t="s">
        <v>52</v>
      </c>
      <c r="AD59" t="s">
        <v>51</v>
      </c>
      <c r="AE59" t="s">
        <v>53</v>
      </c>
      <c r="AF59" t="s">
        <v>54</v>
      </c>
      <c r="AH59" s="2">
        <v>46178.298622685186</v>
      </c>
      <c r="AI59" t="s">
        <v>240</v>
      </c>
      <c r="AJ59" t="s">
        <v>241</v>
      </c>
      <c r="AK59">
        <v>0</v>
      </c>
      <c r="AL59">
        <v>0</v>
      </c>
      <c r="AM59">
        <v>0</v>
      </c>
      <c r="AN59">
        <v>0</v>
      </c>
      <c r="AO59">
        <v>0</v>
      </c>
      <c r="AP59" t="s">
        <v>57</v>
      </c>
      <c r="AQ59" t="s">
        <v>57</v>
      </c>
      <c r="AR59">
        <v>1001</v>
      </c>
      <c r="AS59" t="s">
        <v>58</v>
      </c>
    </row>
    <row r="60" spans="1:45" x14ac:dyDescent="0.25">
      <c r="A60">
        <v>59</v>
      </c>
      <c r="B60">
        <v>61</v>
      </c>
      <c r="C60" t="s">
        <v>242</v>
      </c>
      <c r="D60" t="s">
        <v>46</v>
      </c>
      <c r="E60" t="s">
        <v>47</v>
      </c>
      <c r="F60">
        <v>190</v>
      </c>
      <c r="G60" s="1">
        <v>46178</v>
      </c>
      <c r="H60" s="2">
        <v>46178.302951388891</v>
      </c>
      <c r="I60" s="2">
        <v>46178.302951388891</v>
      </c>
      <c r="L60" t="s">
        <v>48</v>
      </c>
      <c r="M60" t="s">
        <v>49</v>
      </c>
      <c r="N60" t="s">
        <v>50</v>
      </c>
      <c r="O60">
        <v>41</v>
      </c>
      <c r="P60">
        <v>861</v>
      </c>
      <c r="S60" t="s">
        <v>51</v>
      </c>
      <c r="T60">
        <v>861</v>
      </c>
      <c r="U60">
        <v>1</v>
      </c>
      <c r="V60">
        <v>1</v>
      </c>
      <c r="W60">
        <v>0</v>
      </c>
      <c r="X60">
        <v>0</v>
      </c>
      <c r="Y60">
        <v>0</v>
      </c>
      <c r="Z60">
        <v>10</v>
      </c>
      <c r="AA60">
        <v>6.6202606050716101E+29</v>
      </c>
      <c r="AB60" s="2">
        <v>46178.302780636572</v>
      </c>
      <c r="AC60" t="s">
        <v>52</v>
      </c>
      <c r="AD60" t="s">
        <v>51</v>
      </c>
      <c r="AE60" t="s">
        <v>53</v>
      </c>
      <c r="AF60" t="s">
        <v>54</v>
      </c>
      <c r="AH60" s="2">
        <v>46178.302951388891</v>
      </c>
      <c r="AI60" t="s">
        <v>243</v>
      </c>
      <c r="AJ60" t="s">
        <v>244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57</v>
      </c>
      <c r="AQ60" t="s">
        <v>57</v>
      </c>
      <c r="AR60">
        <v>1001</v>
      </c>
      <c r="AS60" t="s">
        <v>58</v>
      </c>
    </row>
    <row r="61" spans="1:45" x14ac:dyDescent="0.25">
      <c r="A61">
        <v>60</v>
      </c>
      <c r="B61">
        <v>62</v>
      </c>
      <c r="C61" t="s">
        <v>245</v>
      </c>
      <c r="D61" t="s">
        <v>46</v>
      </c>
      <c r="E61" t="s">
        <v>47</v>
      </c>
      <c r="F61">
        <v>191</v>
      </c>
      <c r="G61" s="1">
        <v>46178</v>
      </c>
      <c r="H61" s="2">
        <v>46178.303888888891</v>
      </c>
      <c r="I61" s="2">
        <v>46178.304976851854</v>
      </c>
      <c r="J61" t="s">
        <v>88</v>
      </c>
      <c r="K61" t="s">
        <v>89</v>
      </c>
      <c r="L61" t="s">
        <v>48</v>
      </c>
      <c r="M61" t="s">
        <v>49</v>
      </c>
      <c r="N61" t="s">
        <v>50</v>
      </c>
      <c r="O61">
        <v>41</v>
      </c>
      <c r="P61">
        <v>861</v>
      </c>
      <c r="Q61" t="s">
        <v>68</v>
      </c>
      <c r="R61" t="s">
        <v>68</v>
      </c>
      <c r="S61" t="s">
        <v>69</v>
      </c>
      <c r="T61">
        <v>861</v>
      </c>
      <c r="U61">
        <v>1</v>
      </c>
      <c r="V61">
        <v>1</v>
      </c>
      <c r="W61">
        <v>46</v>
      </c>
      <c r="X61">
        <v>18700</v>
      </c>
      <c r="Y61">
        <v>20523.25</v>
      </c>
      <c r="Z61">
        <v>10</v>
      </c>
      <c r="AA61">
        <v>6.6202606050717297E+29</v>
      </c>
      <c r="AB61" s="2">
        <v>46178.304864039354</v>
      </c>
      <c r="AC61" t="s">
        <v>70</v>
      </c>
      <c r="AD61" t="s">
        <v>69</v>
      </c>
      <c r="AE61" t="s">
        <v>53</v>
      </c>
      <c r="AF61" t="s">
        <v>54</v>
      </c>
      <c r="AH61" s="2">
        <v>46178.303888888891</v>
      </c>
      <c r="AI61" t="s">
        <v>246</v>
      </c>
      <c r="AJ61" t="s">
        <v>247</v>
      </c>
      <c r="AK61">
        <v>0</v>
      </c>
      <c r="AL61">
        <v>0</v>
      </c>
      <c r="AM61">
        <v>0</v>
      </c>
      <c r="AN61">
        <v>0</v>
      </c>
      <c r="AO61">
        <v>0</v>
      </c>
      <c r="AP61" t="s">
        <v>57</v>
      </c>
      <c r="AQ61" t="s">
        <v>57</v>
      </c>
      <c r="AR61">
        <v>1001</v>
      </c>
      <c r="AS61" t="s">
        <v>74</v>
      </c>
    </row>
    <row r="62" spans="1:45" x14ac:dyDescent="0.25">
      <c r="A62">
        <v>61</v>
      </c>
      <c r="B62">
        <v>63</v>
      </c>
      <c r="C62" t="s">
        <v>248</v>
      </c>
      <c r="D62" t="s">
        <v>46</v>
      </c>
      <c r="E62" t="s">
        <v>47</v>
      </c>
      <c r="F62">
        <v>192</v>
      </c>
      <c r="G62" s="1">
        <v>46178</v>
      </c>
      <c r="H62" s="2">
        <v>46178.305034722223</v>
      </c>
      <c r="I62" s="2">
        <v>46178.306620370371</v>
      </c>
      <c r="J62" t="s">
        <v>66</v>
      </c>
      <c r="K62" t="s">
        <v>67</v>
      </c>
      <c r="L62" t="s">
        <v>48</v>
      </c>
      <c r="M62" t="s">
        <v>49</v>
      </c>
      <c r="N62" t="s">
        <v>50</v>
      </c>
      <c r="O62">
        <v>41</v>
      </c>
      <c r="P62">
        <v>861</v>
      </c>
      <c r="S62" t="s">
        <v>51</v>
      </c>
      <c r="T62">
        <v>861</v>
      </c>
      <c r="U62">
        <v>1</v>
      </c>
      <c r="V62">
        <v>1</v>
      </c>
      <c r="W62">
        <v>0</v>
      </c>
      <c r="X62">
        <v>0</v>
      </c>
      <c r="Y62">
        <v>0</v>
      </c>
      <c r="Z62">
        <v>10</v>
      </c>
      <c r="AA62">
        <v>6.6202606050719098E+29</v>
      </c>
      <c r="AB62" s="2">
        <v>46178.306600231481</v>
      </c>
      <c r="AC62" t="s">
        <v>70</v>
      </c>
      <c r="AD62" t="s">
        <v>51</v>
      </c>
      <c r="AE62" t="s">
        <v>53</v>
      </c>
      <c r="AF62" t="s">
        <v>54</v>
      </c>
      <c r="AH62" s="2">
        <v>46178.305034722223</v>
      </c>
      <c r="AI62" t="s">
        <v>249</v>
      </c>
      <c r="AJ62" t="s">
        <v>250</v>
      </c>
      <c r="AK62">
        <v>1</v>
      </c>
      <c r="AL62">
        <v>0</v>
      </c>
      <c r="AM62">
        <v>0</v>
      </c>
      <c r="AN62">
        <v>0</v>
      </c>
      <c r="AO62">
        <v>0</v>
      </c>
      <c r="AP62" t="s">
        <v>57</v>
      </c>
      <c r="AQ62" t="s">
        <v>57</v>
      </c>
      <c r="AR62">
        <v>1001</v>
      </c>
      <c r="AS62" t="s">
        <v>58</v>
      </c>
    </row>
    <row r="63" spans="1:45" x14ac:dyDescent="0.25">
      <c r="A63">
        <v>62</v>
      </c>
      <c r="B63">
        <v>64</v>
      </c>
      <c r="C63" t="s">
        <v>251</v>
      </c>
      <c r="D63" t="s">
        <v>46</v>
      </c>
      <c r="E63" t="s">
        <v>47</v>
      </c>
      <c r="F63">
        <v>193</v>
      </c>
      <c r="G63" s="1">
        <v>46178</v>
      </c>
      <c r="H63" s="2">
        <v>46178.309398148151</v>
      </c>
      <c r="I63" s="2">
        <v>46178.30978009259</v>
      </c>
      <c r="J63" t="s">
        <v>88</v>
      </c>
      <c r="K63" t="s">
        <v>89</v>
      </c>
      <c r="L63" t="s">
        <v>48</v>
      </c>
      <c r="M63" t="s">
        <v>49</v>
      </c>
      <c r="N63" t="s">
        <v>50</v>
      </c>
      <c r="O63">
        <v>41</v>
      </c>
      <c r="P63">
        <v>861</v>
      </c>
      <c r="Q63" t="s">
        <v>68</v>
      </c>
      <c r="R63" t="s">
        <v>68</v>
      </c>
      <c r="S63" t="s">
        <v>69</v>
      </c>
      <c r="T63">
        <v>861</v>
      </c>
      <c r="U63">
        <v>1</v>
      </c>
      <c r="V63">
        <v>1</v>
      </c>
      <c r="W63">
        <v>47</v>
      </c>
      <c r="X63">
        <v>16</v>
      </c>
      <c r="Y63">
        <v>16</v>
      </c>
      <c r="Z63">
        <v>10</v>
      </c>
      <c r="AA63">
        <v>6.6202606050725305E+29</v>
      </c>
      <c r="AB63" s="2">
        <v>46178.309725266205</v>
      </c>
      <c r="AC63" t="s">
        <v>70</v>
      </c>
      <c r="AD63" t="s">
        <v>69</v>
      </c>
      <c r="AE63" t="s">
        <v>53</v>
      </c>
      <c r="AF63" t="s">
        <v>54</v>
      </c>
      <c r="AH63" s="2">
        <v>46178.309398148151</v>
      </c>
      <c r="AI63" t="s">
        <v>252</v>
      </c>
      <c r="AJ63" t="s">
        <v>253</v>
      </c>
      <c r="AK63">
        <v>0</v>
      </c>
      <c r="AL63">
        <v>0</v>
      </c>
      <c r="AM63">
        <v>0</v>
      </c>
      <c r="AN63">
        <v>0</v>
      </c>
      <c r="AO63">
        <v>0</v>
      </c>
      <c r="AP63" t="s">
        <v>57</v>
      </c>
      <c r="AQ63" t="s">
        <v>57</v>
      </c>
      <c r="AR63">
        <v>1001</v>
      </c>
      <c r="AS63" t="s">
        <v>74</v>
      </c>
    </row>
    <row r="64" spans="1:45" x14ac:dyDescent="0.25">
      <c r="A64">
        <v>63</v>
      </c>
      <c r="B64">
        <v>65</v>
      </c>
      <c r="C64" t="s">
        <v>254</v>
      </c>
      <c r="D64" t="s">
        <v>46</v>
      </c>
      <c r="E64" t="s">
        <v>47</v>
      </c>
      <c r="F64">
        <v>194</v>
      </c>
      <c r="G64" s="1">
        <v>46178</v>
      </c>
      <c r="H64" s="2">
        <v>46178.313715277778</v>
      </c>
      <c r="I64" s="2">
        <v>46178.318055555559</v>
      </c>
      <c r="J64" t="s">
        <v>88</v>
      </c>
      <c r="K64" t="s">
        <v>89</v>
      </c>
      <c r="L64" t="s">
        <v>48</v>
      </c>
      <c r="M64" t="s">
        <v>49</v>
      </c>
      <c r="N64" t="s">
        <v>50</v>
      </c>
      <c r="O64">
        <v>41</v>
      </c>
      <c r="P64">
        <v>861</v>
      </c>
      <c r="Q64" t="s">
        <v>68</v>
      </c>
      <c r="R64" t="s">
        <v>68</v>
      </c>
      <c r="S64" t="s">
        <v>69</v>
      </c>
      <c r="T64">
        <v>861</v>
      </c>
      <c r="U64">
        <v>1</v>
      </c>
      <c r="V64">
        <v>1</v>
      </c>
      <c r="W64">
        <v>48</v>
      </c>
      <c r="X64">
        <v>1565.5</v>
      </c>
      <c r="Y64">
        <v>1716.58</v>
      </c>
      <c r="Z64">
        <v>10</v>
      </c>
      <c r="AA64">
        <v>6.6202606050731399E+29</v>
      </c>
      <c r="AB64" s="2">
        <v>46178.318058645833</v>
      </c>
      <c r="AC64" t="s">
        <v>70</v>
      </c>
      <c r="AD64" t="s">
        <v>69</v>
      </c>
      <c r="AE64" t="s">
        <v>53</v>
      </c>
      <c r="AF64" t="s">
        <v>54</v>
      </c>
      <c r="AH64" s="2">
        <v>46178.313715277778</v>
      </c>
      <c r="AI64" t="s">
        <v>255</v>
      </c>
      <c r="AJ64" t="s">
        <v>256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57</v>
      </c>
      <c r="AQ64" t="s">
        <v>57</v>
      </c>
      <c r="AR64">
        <v>1001</v>
      </c>
      <c r="AS64" t="s">
        <v>74</v>
      </c>
    </row>
    <row r="65" spans="1:45" x14ac:dyDescent="0.25">
      <c r="A65">
        <v>64</v>
      </c>
      <c r="B65">
        <v>66</v>
      </c>
      <c r="C65" t="s">
        <v>257</v>
      </c>
      <c r="D65" t="s">
        <v>46</v>
      </c>
      <c r="E65" t="s">
        <v>47</v>
      </c>
      <c r="F65">
        <v>195</v>
      </c>
      <c r="G65" s="1">
        <v>46178</v>
      </c>
      <c r="H65" s="2">
        <v>46178.318101851852</v>
      </c>
      <c r="I65" s="2">
        <v>46178.318807870368</v>
      </c>
      <c r="L65" t="s">
        <v>48</v>
      </c>
      <c r="M65" t="s">
        <v>49</v>
      </c>
      <c r="N65" t="s">
        <v>50</v>
      </c>
      <c r="O65">
        <v>41</v>
      </c>
      <c r="P65">
        <v>861</v>
      </c>
      <c r="S65" t="s">
        <v>51</v>
      </c>
      <c r="T65">
        <v>861</v>
      </c>
      <c r="U65">
        <v>1</v>
      </c>
      <c r="V65">
        <v>1</v>
      </c>
      <c r="W65">
        <v>0</v>
      </c>
      <c r="X65">
        <v>0</v>
      </c>
      <c r="Y65">
        <v>0</v>
      </c>
      <c r="Z65">
        <v>10</v>
      </c>
      <c r="AA65">
        <v>6.6202606050737999E+29</v>
      </c>
      <c r="AB65" s="2">
        <v>46178.318753043983</v>
      </c>
      <c r="AC65" t="s">
        <v>52</v>
      </c>
      <c r="AD65" t="s">
        <v>51</v>
      </c>
      <c r="AE65" t="s">
        <v>53</v>
      </c>
      <c r="AF65" t="s">
        <v>54</v>
      </c>
      <c r="AH65" s="2">
        <v>46178.318101851852</v>
      </c>
      <c r="AI65" t="s">
        <v>258</v>
      </c>
      <c r="AJ65" t="s">
        <v>259</v>
      </c>
      <c r="AK65">
        <v>0</v>
      </c>
      <c r="AL65">
        <v>0</v>
      </c>
      <c r="AM65">
        <v>0</v>
      </c>
      <c r="AN65">
        <v>0</v>
      </c>
      <c r="AO65">
        <v>0</v>
      </c>
      <c r="AP65" t="s">
        <v>57</v>
      </c>
      <c r="AQ65" t="s">
        <v>57</v>
      </c>
      <c r="AR65">
        <v>1001</v>
      </c>
      <c r="AS65" t="s">
        <v>58</v>
      </c>
    </row>
    <row r="66" spans="1:45" x14ac:dyDescent="0.25">
      <c r="A66">
        <v>65</v>
      </c>
      <c r="B66">
        <v>67</v>
      </c>
      <c r="C66" t="s">
        <v>260</v>
      </c>
      <c r="D66" t="s">
        <v>46</v>
      </c>
      <c r="E66" t="s">
        <v>47</v>
      </c>
      <c r="F66">
        <v>196</v>
      </c>
      <c r="G66" s="1">
        <v>46178</v>
      </c>
      <c r="H66" s="2">
        <v>46178.320543981485</v>
      </c>
      <c r="I66" s="2">
        <v>46178.320543981485</v>
      </c>
      <c r="L66" t="s">
        <v>48</v>
      </c>
      <c r="M66" t="s">
        <v>49</v>
      </c>
      <c r="N66" t="s">
        <v>50</v>
      </c>
      <c r="O66">
        <v>41</v>
      </c>
      <c r="P66">
        <v>861</v>
      </c>
      <c r="S66" t="s">
        <v>51</v>
      </c>
      <c r="T66">
        <v>861</v>
      </c>
      <c r="U66">
        <v>1</v>
      </c>
      <c r="V66">
        <v>1</v>
      </c>
      <c r="W66">
        <v>0</v>
      </c>
      <c r="X66">
        <v>0</v>
      </c>
      <c r="Y66">
        <v>0</v>
      </c>
      <c r="Z66">
        <v>10</v>
      </c>
      <c r="AA66">
        <v>6.6202606050741307E+29</v>
      </c>
      <c r="AB66" s="2">
        <v>46178.320489155092</v>
      </c>
      <c r="AC66" t="s">
        <v>52</v>
      </c>
      <c r="AD66" t="s">
        <v>51</v>
      </c>
      <c r="AE66" t="s">
        <v>53</v>
      </c>
      <c r="AF66" t="s">
        <v>54</v>
      </c>
      <c r="AH66" s="2">
        <v>46178.320543981485</v>
      </c>
      <c r="AI66" t="s">
        <v>261</v>
      </c>
      <c r="AJ66" t="s">
        <v>262</v>
      </c>
      <c r="AK66">
        <v>0</v>
      </c>
      <c r="AL66">
        <v>0</v>
      </c>
      <c r="AM66">
        <v>0</v>
      </c>
      <c r="AN66">
        <v>0</v>
      </c>
      <c r="AO66">
        <v>0</v>
      </c>
      <c r="AP66" t="s">
        <v>57</v>
      </c>
      <c r="AQ66" t="s">
        <v>57</v>
      </c>
      <c r="AR66">
        <v>1001</v>
      </c>
      <c r="AS66" t="s">
        <v>58</v>
      </c>
    </row>
    <row r="67" spans="1:45" x14ac:dyDescent="0.25">
      <c r="A67">
        <v>66</v>
      </c>
      <c r="B67">
        <v>68</v>
      </c>
      <c r="C67" t="s">
        <v>263</v>
      </c>
      <c r="D67" t="s">
        <v>46</v>
      </c>
      <c r="E67" t="s">
        <v>47</v>
      </c>
      <c r="F67">
        <v>197</v>
      </c>
      <c r="G67" s="1">
        <v>46178</v>
      </c>
      <c r="H67" s="2">
        <v>46178.320555555554</v>
      </c>
      <c r="I67" s="2">
        <v>46178.321585648147</v>
      </c>
      <c r="J67" t="s">
        <v>88</v>
      </c>
      <c r="K67" t="s">
        <v>89</v>
      </c>
      <c r="L67" t="s">
        <v>48</v>
      </c>
      <c r="M67" t="s">
        <v>49</v>
      </c>
      <c r="N67" t="s">
        <v>50</v>
      </c>
      <c r="O67">
        <v>41</v>
      </c>
      <c r="P67">
        <v>861</v>
      </c>
      <c r="Q67" t="s">
        <v>187</v>
      </c>
      <c r="R67" t="s">
        <v>187</v>
      </c>
      <c r="S67" t="s">
        <v>69</v>
      </c>
      <c r="T67">
        <v>861</v>
      </c>
      <c r="U67">
        <v>1</v>
      </c>
      <c r="V67">
        <v>1</v>
      </c>
      <c r="W67">
        <v>49</v>
      </c>
      <c r="X67">
        <v>-1016</v>
      </c>
      <c r="Y67">
        <v>-1113.5</v>
      </c>
      <c r="Z67">
        <v>10</v>
      </c>
      <c r="AA67">
        <v>6.6202606050741307E+29</v>
      </c>
      <c r="AB67" s="2">
        <v>46178.32153090278</v>
      </c>
      <c r="AC67" t="s">
        <v>70</v>
      </c>
      <c r="AD67" t="s">
        <v>51</v>
      </c>
      <c r="AE67" t="s">
        <v>53</v>
      </c>
      <c r="AF67" t="s">
        <v>54</v>
      </c>
      <c r="AH67" s="2">
        <v>46178.320555555554</v>
      </c>
      <c r="AI67" t="s">
        <v>264</v>
      </c>
      <c r="AJ67" t="s">
        <v>265</v>
      </c>
      <c r="AK67">
        <v>0</v>
      </c>
      <c r="AL67">
        <v>0</v>
      </c>
      <c r="AM67">
        <v>0</v>
      </c>
      <c r="AN67">
        <v>0</v>
      </c>
      <c r="AO67">
        <v>0</v>
      </c>
      <c r="AP67" t="s">
        <v>57</v>
      </c>
      <c r="AQ67" t="s">
        <v>57</v>
      </c>
      <c r="AR67">
        <v>1001</v>
      </c>
      <c r="AS67" t="s">
        <v>190</v>
      </c>
    </row>
    <row r="68" spans="1:45" x14ac:dyDescent="0.25">
      <c r="A68">
        <v>67</v>
      </c>
      <c r="B68">
        <v>69</v>
      </c>
      <c r="C68" t="s">
        <v>266</v>
      </c>
      <c r="D68" t="s">
        <v>46</v>
      </c>
      <c r="E68" t="s">
        <v>47</v>
      </c>
      <c r="F68">
        <v>198</v>
      </c>
      <c r="G68" s="1">
        <v>46178</v>
      </c>
      <c r="H68" s="2">
        <v>46178.32167824074</v>
      </c>
      <c r="I68" s="2">
        <v>46178.322372685187</v>
      </c>
      <c r="L68" t="s">
        <v>48</v>
      </c>
      <c r="M68" t="s">
        <v>49</v>
      </c>
      <c r="N68" t="s">
        <v>50</v>
      </c>
      <c r="O68">
        <v>41</v>
      </c>
      <c r="P68">
        <v>861</v>
      </c>
      <c r="S68" t="s">
        <v>51</v>
      </c>
      <c r="T68">
        <v>861</v>
      </c>
      <c r="U68">
        <v>1</v>
      </c>
      <c r="V68">
        <v>1</v>
      </c>
      <c r="W68">
        <v>0</v>
      </c>
      <c r="X68">
        <v>0</v>
      </c>
      <c r="Y68">
        <v>0</v>
      </c>
      <c r="Z68">
        <v>10</v>
      </c>
      <c r="AA68">
        <v>6.6202606050743094E+29</v>
      </c>
      <c r="AB68" s="2">
        <v>46178.322225266202</v>
      </c>
      <c r="AC68" t="s">
        <v>52</v>
      </c>
      <c r="AD68" t="s">
        <v>51</v>
      </c>
      <c r="AE68" t="s">
        <v>53</v>
      </c>
      <c r="AF68" t="s">
        <v>54</v>
      </c>
      <c r="AH68" s="2">
        <v>46178.32167824074</v>
      </c>
      <c r="AI68" t="s">
        <v>267</v>
      </c>
      <c r="AJ68" t="s">
        <v>268</v>
      </c>
      <c r="AK68">
        <v>0</v>
      </c>
      <c r="AL68">
        <v>0</v>
      </c>
      <c r="AM68">
        <v>0</v>
      </c>
      <c r="AN68">
        <v>0</v>
      </c>
      <c r="AO68">
        <v>0</v>
      </c>
      <c r="AP68" t="s">
        <v>57</v>
      </c>
      <c r="AQ68" t="s">
        <v>57</v>
      </c>
      <c r="AR68">
        <v>1001</v>
      </c>
      <c r="AS68" t="s">
        <v>58</v>
      </c>
    </row>
    <row r="69" spans="1:45" x14ac:dyDescent="0.25">
      <c r="A69">
        <v>68</v>
      </c>
      <c r="B69">
        <v>70</v>
      </c>
      <c r="C69" t="s">
        <v>269</v>
      </c>
      <c r="D69" t="s">
        <v>46</v>
      </c>
      <c r="E69" t="s">
        <v>47</v>
      </c>
      <c r="F69">
        <v>199</v>
      </c>
      <c r="G69" s="1">
        <v>46178</v>
      </c>
      <c r="H69" s="2">
        <v>46178.376851851855</v>
      </c>
      <c r="I69" s="2">
        <v>46178.376851851855</v>
      </c>
      <c r="L69" t="s">
        <v>48</v>
      </c>
      <c r="M69" t="s">
        <v>49</v>
      </c>
      <c r="N69" t="s">
        <v>50</v>
      </c>
      <c r="O69">
        <v>41</v>
      </c>
      <c r="P69">
        <v>861</v>
      </c>
      <c r="S69" t="s">
        <v>51</v>
      </c>
      <c r="T69">
        <v>861</v>
      </c>
      <c r="U69">
        <v>1</v>
      </c>
      <c r="V69">
        <v>1</v>
      </c>
      <c r="W69">
        <v>0</v>
      </c>
      <c r="X69">
        <v>0</v>
      </c>
      <c r="Y69">
        <v>0</v>
      </c>
      <c r="Z69">
        <v>10</v>
      </c>
      <c r="AA69">
        <v>6.6202606050902395E+29</v>
      </c>
      <c r="AB69" s="2">
        <v>46178.376739155094</v>
      </c>
      <c r="AC69" t="s">
        <v>52</v>
      </c>
      <c r="AD69" t="s">
        <v>51</v>
      </c>
      <c r="AE69" t="s">
        <v>53</v>
      </c>
      <c r="AF69" t="s">
        <v>54</v>
      </c>
      <c r="AH69" s="2">
        <v>46178.376851851855</v>
      </c>
      <c r="AI69" t="s">
        <v>270</v>
      </c>
      <c r="AJ69" t="s">
        <v>271</v>
      </c>
      <c r="AK69">
        <v>0</v>
      </c>
      <c r="AL69">
        <v>0</v>
      </c>
      <c r="AM69">
        <v>0</v>
      </c>
      <c r="AN69">
        <v>0</v>
      </c>
      <c r="AO69">
        <v>0</v>
      </c>
      <c r="AP69" t="s">
        <v>57</v>
      </c>
      <c r="AQ69" t="s">
        <v>57</v>
      </c>
      <c r="AR69">
        <v>1001</v>
      </c>
      <c r="AS6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0529-0607-4108-A182-957F7A9EBBDA}">
  <dimension ref="A1:AJ31"/>
  <sheetViews>
    <sheetView workbookViewId="0">
      <selection activeCell="D18" sqref="D18"/>
    </sheetView>
  </sheetViews>
  <sheetFormatPr baseColWidth="10" defaultRowHeight="15" x14ac:dyDescent="0.25"/>
  <sheetData>
    <row r="1" spans="1:36" x14ac:dyDescent="0.25">
      <c r="A1" t="s">
        <v>272</v>
      </c>
      <c r="B1" t="s">
        <v>0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  <c r="M1" t="s">
        <v>283</v>
      </c>
      <c r="N1" t="s">
        <v>284</v>
      </c>
      <c r="O1" t="s">
        <v>285</v>
      </c>
      <c r="P1" t="s">
        <v>286</v>
      </c>
      <c r="Q1" t="s">
        <v>287</v>
      </c>
      <c r="R1" t="s">
        <v>288</v>
      </c>
      <c r="S1" t="s">
        <v>289</v>
      </c>
      <c r="T1" t="s">
        <v>290</v>
      </c>
      <c r="U1" t="s">
        <v>291</v>
      </c>
      <c r="V1" t="s">
        <v>292</v>
      </c>
      <c r="W1" t="s">
        <v>293</v>
      </c>
      <c r="X1" t="s">
        <v>294</v>
      </c>
      <c r="Y1" t="s">
        <v>295</v>
      </c>
      <c r="Z1" t="s">
        <v>296</v>
      </c>
      <c r="AA1" t="s">
        <v>35</v>
      </c>
      <c r="AB1" t="s">
        <v>297</v>
      </c>
      <c r="AC1" t="s">
        <v>298</v>
      </c>
      <c r="AD1" t="s">
        <v>299</v>
      </c>
      <c r="AE1" t="s">
        <v>300</v>
      </c>
      <c r="AF1" t="s">
        <v>301</v>
      </c>
      <c r="AG1" t="s">
        <v>302</v>
      </c>
      <c r="AH1" t="s">
        <v>303</v>
      </c>
      <c r="AI1" t="s">
        <v>304</v>
      </c>
      <c r="AJ1" t="s">
        <v>305</v>
      </c>
    </row>
    <row r="2" spans="1:36" x14ac:dyDescent="0.25">
      <c r="A2">
        <v>1</v>
      </c>
      <c r="B2">
        <v>4</v>
      </c>
      <c r="C2">
        <v>4</v>
      </c>
      <c r="D2">
        <v>5</v>
      </c>
      <c r="E2" t="s">
        <v>306</v>
      </c>
      <c r="F2">
        <v>10000743</v>
      </c>
      <c r="G2">
        <v>10000743</v>
      </c>
      <c r="H2" t="s">
        <v>307</v>
      </c>
      <c r="I2">
        <v>37</v>
      </c>
      <c r="J2">
        <v>1</v>
      </c>
      <c r="K2">
        <v>8350</v>
      </c>
      <c r="L2">
        <v>8350</v>
      </c>
      <c r="M2" t="s">
        <v>308</v>
      </c>
      <c r="N2" t="s">
        <v>309</v>
      </c>
      <c r="O2">
        <v>0</v>
      </c>
      <c r="P2">
        <v>861</v>
      </c>
      <c r="Q2" t="s">
        <v>310</v>
      </c>
      <c r="R2" t="s">
        <v>57</v>
      </c>
      <c r="S2" t="s">
        <v>57</v>
      </c>
      <c r="T2" t="s">
        <v>57</v>
      </c>
      <c r="U2" t="s">
        <v>57</v>
      </c>
      <c r="V2" t="s">
        <v>311</v>
      </c>
      <c r="W2" t="s">
        <v>57</v>
      </c>
      <c r="Z2" t="s">
        <v>57</v>
      </c>
      <c r="AA2" t="s">
        <v>312</v>
      </c>
      <c r="AB2" t="s">
        <v>57</v>
      </c>
      <c r="AC2" t="s">
        <v>57</v>
      </c>
      <c r="AD2" t="s">
        <v>57</v>
      </c>
      <c r="AE2">
        <v>4</v>
      </c>
      <c r="AF2">
        <v>1</v>
      </c>
      <c r="AG2">
        <v>0</v>
      </c>
      <c r="AH2">
        <v>0</v>
      </c>
      <c r="AI2" t="s">
        <v>57</v>
      </c>
      <c r="AJ2" t="s">
        <v>57</v>
      </c>
    </row>
    <row r="3" spans="1:36" x14ac:dyDescent="0.25">
      <c r="A3">
        <v>2</v>
      </c>
      <c r="B3">
        <v>9</v>
      </c>
      <c r="C3">
        <v>4</v>
      </c>
      <c r="D3">
        <v>5</v>
      </c>
      <c r="E3" t="s">
        <v>306</v>
      </c>
      <c r="F3">
        <v>10000024</v>
      </c>
      <c r="G3">
        <v>10000024</v>
      </c>
      <c r="H3" t="s">
        <v>313</v>
      </c>
      <c r="I3">
        <v>18</v>
      </c>
      <c r="J3">
        <v>1</v>
      </c>
      <c r="K3">
        <v>19.5</v>
      </c>
      <c r="L3">
        <v>19.3</v>
      </c>
      <c r="M3" t="s">
        <v>314</v>
      </c>
      <c r="N3" t="s">
        <v>315</v>
      </c>
      <c r="O3">
        <v>1.88</v>
      </c>
      <c r="P3">
        <v>861</v>
      </c>
      <c r="Q3" t="s">
        <v>316</v>
      </c>
      <c r="R3" t="s">
        <v>57</v>
      </c>
      <c r="S3" t="s">
        <v>57</v>
      </c>
      <c r="T3" t="s">
        <v>57</v>
      </c>
      <c r="U3" t="s">
        <v>57</v>
      </c>
      <c r="V3" t="s">
        <v>311</v>
      </c>
      <c r="W3">
        <v>0.2</v>
      </c>
      <c r="X3" t="s">
        <v>317</v>
      </c>
      <c r="Y3" t="s">
        <v>318</v>
      </c>
      <c r="Z3">
        <v>19.5</v>
      </c>
      <c r="AA3" t="s">
        <v>319</v>
      </c>
      <c r="AB3" t="s">
        <v>57</v>
      </c>
      <c r="AC3" t="s">
        <v>57</v>
      </c>
      <c r="AD3" t="s">
        <v>57</v>
      </c>
      <c r="AE3">
        <v>4</v>
      </c>
      <c r="AF3">
        <v>1</v>
      </c>
      <c r="AG3">
        <v>0</v>
      </c>
      <c r="AH3">
        <v>0</v>
      </c>
      <c r="AI3" t="s">
        <v>57</v>
      </c>
      <c r="AJ3" t="s">
        <v>57</v>
      </c>
    </row>
    <row r="4" spans="1:36" x14ac:dyDescent="0.25">
      <c r="A4">
        <v>3</v>
      </c>
      <c r="B4">
        <v>12</v>
      </c>
      <c r="C4">
        <v>4</v>
      </c>
      <c r="D4">
        <v>9</v>
      </c>
      <c r="E4" t="s">
        <v>306</v>
      </c>
      <c r="F4">
        <v>18456714</v>
      </c>
      <c r="G4">
        <v>18456714</v>
      </c>
      <c r="H4" t="s">
        <v>320</v>
      </c>
      <c r="I4">
        <v>67</v>
      </c>
      <c r="J4">
        <v>1</v>
      </c>
      <c r="K4">
        <v>89</v>
      </c>
      <c r="L4">
        <v>89</v>
      </c>
      <c r="M4" t="s">
        <v>308</v>
      </c>
      <c r="N4" t="s">
        <v>309</v>
      </c>
      <c r="O4">
        <v>0</v>
      </c>
      <c r="P4">
        <v>861</v>
      </c>
      <c r="Q4" t="s">
        <v>316</v>
      </c>
      <c r="R4" t="s">
        <v>57</v>
      </c>
      <c r="S4" t="s">
        <v>57</v>
      </c>
      <c r="T4" t="s">
        <v>57</v>
      </c>
      <c r="U4" t="s">
        <v>57</v>
      </c>
      <c r="V4" t="s">
        <v>311</v>
      </c>
      <c r="W4" t="s">
        <v>57</v>
      </c>
      <c r="Z4" t="s">
        <v>57</v>
      </c>
      <c r="AA4" t="s">
        <v>321</v>
      </c>
      <c r="AB4" t="s">
        <v>57</v>
      </c>
      <c r="AC4" t="s">
        <v>57</v>
      </c>
      <c r="AD4" t="s">
        <v>57</v>
      </c>
      <c r="AE4">
        <v>4</v>
      </c>
      <c r="AF4">
        <v>1</v>
      </c>
      <c r="AG4">
        <v>0</v>
      </c>
      <c r="AH4">
        <v>0</v>
      </c>
      <c r="AI4" t="s">
        <v>57</v>
      </c>
      <c r="AJ4" t="s">
        <v>57</v>
      </c>
    </row>
    <row r="5" spans="1:36" x14ac:dyDescent="0.25">
      <c r="A5">
        <v>4</v>
      </c>
      <c r="B5">
        <v>13</v>
      </c>
      <c r="C5">
        <v>4</v>
      </c>
      <c r="D5">
        <v>5</v>
      </c>
      <c r="E5" t="s">
        <v>306</v>
      </c>
      <c r="F5">
        <v>18456714</v>
      </c>
      <c r="G5">
        <v>18456714</v>
      </c>
      <c r="H5" t="s">
        <v>320</v>
      </c>
      <c r="I5">
        <v>67</v>
      </c>
      <c r="J5">
        <v>1</v>
      </c>
      <c r="K5">
        <v>89</v>
      </c>
      <c r="L5">
        <v>89</v>
      </c>
      <c r="M5" t="s">
        <v>314</v>
      </c>
      <c r="N5" t="s">
        <v>315</v>
      </c>
      <c r="O5">
        <v>8.68</v>
      </c>
      <c r="P5">
        <v>861</v>
      </c>
      <c r="Q5" t="s">
        <v>316</v>
      </c>
      <c r="R5" t="s">
        <v>57</v>
      </c>
      <c r="S5" t="s">
        <v>57</v>
      </c>
      <c r="T5" t="s">
        <v>57</v>
      </c>
      <c r="U5" t="s">
        <v>57</v>
      </c>
      <c r="V5" t="s">
        <v>311</v>
      </c>
      <c r="W5" t="s">
        <v>57</v>
      </c>
      <c r="Z5" t="s">
        <v>57</v>
      </c>
      <c r="AA5" t="s">
        <v>322</v>
      </c>
      <c r="AB5" t="s">
        <v>57</v>
      </c>
      <c r="AC5" t="s">
        <v>57</v>
      </c>
      <c r="AD5" t="s">
        <v>57</v>
      </c>
      <c r="AE5">
        <v>4</v>
      </c>
      <c r="AF5">
        <v>1</v>
      </c>
      <c r="AG5">
        <v>0</v>
      </c>
      <c r="AH5">
        <v>0</v>
      </c>
      <c r="AI5" t="s">
        <v>57</v>
      </c>
      <c r="AJ5" t="s">
        <v>57</v>
      </c>
    </row>
    <row r="6" spans="1:36" x14ac:dyDescent="0.25">
      <c r="A6">
        <v>5</v>
      </c>
      <c r="B6">
        <v>21</v>
      </c>
      <c r="C6">
        <v>4</v>
      </c>
      <c r="D6">
        <v>6</v>
      </c>
      <c r="E6" t="s">
        <v>306</v>
      </c>
      <c r="F6">
        <v>18077308</v>
      </c>
      <c r="G6">
        <v>18077308</v>
      </c>
      <c r="H6" t="s">
        <v>323</v>
      </c>
      <c r="I6">
        <v>10</v>
      </c>
      <c r="J6">
        <v>1</v>
      </c>
      <c r="K6">
        <v>195000</v>
      </c>
      <c r="L6">
        <v>195000</v>
      </c>
      <c r="M6" t="s">
        <v>308</v>
      </c>
      <c r="N6" t="s">
        <v>309</v>
      </c>
      <c r="O6">
        <v>0</v>
      </c>
      <c r="P6">
        <v>861</v>
      </c>
      <c r="Q6" t="s">
        <v>310</v>
      </c>
      <c r="R6" t="s">
        <v>57</v>
      </c>
      <c r="S6" t="s">
        <v>57</v>
      </c>
      <c r="T6" t="s">
        <v>57</v>
      </c>
      <c r="U6" t="s">
        <v>57</v>
      </c>
      <c r="V6" t="s">
        <v>311</v>
      </c>
      <c r="W6" t="s">
        <v>57</v>
      </c>
      <c r="Z6" t="s">
        <v>57</v>
      </c>
      <c r="AA6" t="s">
        <v>324</v>
      </c>
      <c r="AB6" t="s">
        <v>57</v>
      </c>
      <c r="AC6" t="s">
        <v>57</v>
      </c>
      <c r="AD6" t="s">
        <v>57</v>
      </c>
      <c r="AE6">
        <v>4</v>
      </c>
      <c r="AF6">
        <v>1</v>
      </c>
      <c r="AG6">
        <v>0</v>
      </c>
      <c r="AH6">
        <v>0</v>
      </c>
      <c r="AI6" t="s">
        <v>57</v>
      </c>
      <c r="AJ6" t="s">
        <v>57</v>
      </c>
    </row>
    <row r="7" spans="1:36" x14ac:dyDescent="0.25">
      <c r="A7">
        <v>6</v>
      </c>
      <c r="B7">
        <v>21</v>
      </c>
      <c r="C7">
        <v>5</v>
      </c>
      <c r="D7">
        <v>9</v>
      </c>
      <c r="E7" t="s">
        <v>306</v>
      </c>
      <c r="F7">
        <v>17874342</v>
      </c>
      <c r="G7">
        <v>17874342</v>
      </c>
      <c r="H7" t="s">
        <v>325</v>
      </c>
      <c r="I7">
        <v>10</v>
      </c>
      <c r="J7">
        <v>1</v>
      </c>
      <c r="K7">
        <v>98000</v>
      </c>
      <c r="L7">
        <v>98000</v>
      </c>
      <c r="M7" t="s">
        <v>308</v>
      </c>
      <c r="N7" t="s">
        <v>309</v>
      </c>
      <c r="O7">
        <v>0</v>
      </c>
      <c r="P7">
        <v>861</v>
      </c>
      <c r="Q7" t="s">
        <v>310</v>
      </c>
      <c r="R7" t="s">
        <v>57</v>
      </c>
      <c r="S7" t="s">
        <v>57</v>
      </c>
      <c r="T7" t="s">
        <v>57</v>
      </c>
      <c r="U7" t="s">
        <v>57</v>
      </c>
      <c r="V7" t="s">
        <v>311</v>
      </c>
      <c r="W7" t="s">
        <v>57</v>
      </c>
      <c r="Z7" t="s">
        <v>57</v>
      </c>
      <c r="AA7" t="s">
        <v>326</v>
      </c>
      <c r="AB7" t="s">
        <v>57</v>
      </c>
      <c r="AC7" t="s">
        <v>57</v>
      </c>
      <c r="AD7" t="s">
        <v>57</v>
      </c>
      <c r="AE7">
        <v>5</v>
      </c>
      <c r="AF7">
        <v>2</v>
      </c>
      <c r="AG7">
        <v>0</v>
      </c>
      <c r="AH7">
        <v>0</v>
      </c>
      <c r="AI7" t="s">
        <v>57</v>
      </c>
      <c r="AJ7" t="s">
        <v>57</v>
      </c>
    </row>
    <row r="8" spans="1:36" x14ac:dyDescent="0.25">
      <c r="A8">
        <v>7</v>
      </c>
      <c r="B8">
        <v>25</v>
      </c>
      <c r="C8">
        <v>5</v>
      </c>
      <c r="D8">
        <v>12</v>
      </c>
      <c r="E8" t="s">
        <v>306</v>
      </c>
      <c r="F8">
        <v>18077308</v>
      </c>
      <c r="G8">
        <v>18077308</v>
      </c>
      <c r="H8" t="s">
        <v>323</v>
      </c>
      <c r="I8">
        <v>10</v>
      </c>
      <c r="J8">
        <v>1</v>
      </c>
      <c r="K8">
        <v>195000</v>
      </c>
      <c r="L8">
        <v>195000</v>
      </c>
      <c r="M8" t="s">
        <v>308</v>
      </c>
      <c r="N8" t="s">
        <v>309</v>
      </c>
      <c r="O8">
        <v>0</v>
      </c>
      <c r="P8">
        <v>861</v>
      </c>
      <c r="Q8" t="s">
        <v>310</v>
      </c>
      <c r="R8" t="s">
        <v>57</v>
      </c>
      <c r="S8" t="s">
        <v>57</v>
      </c>
      <c r="T8" t="s">
        <v>57</v>
      </c>
      <c r="U8" t="s">
        <v>57</v>
      </c>
      <c r="V8" t="s">
        <v>311</v>
      </c>
      <c r="W8" t="s">
        <v>57</v>
      </c>
      <c r="Z8" t="s">
        <v>57</v>
      </c>
      <c r="AA8" t="s">
        <v>327</v>
      </c>
      <c r="AB8" t="s">
        <v>57</v>
      </c>
      <c r="AC8" t="s">
        <v>57</v>
      </c>
      <c r="AD8" t="s">
        <v>57</v>
      </c>
      <c r="AE8">
        <v>5</v>
      </c>
      <c r="AF8">
        <v>1</v>
      </c>
      <c r="AG8">
        <v>0</v>
      </c>
      <c r="AH8">
        <v>0</v>
      </c>
      <c r="AI8" t="s">
        <v>57</v>
      </c>
      <c r="AJ8" t="s">
        <v>57</v>
      </c>
    </row>
    <row r="9" spans="1:36" x14ac:dyDescent="0.25">
      <c r="A9">
        <v>8</v>
      </c>
      <c r="B9">
        <v>28</v>
      </c>
      <c r="C9">
        <v>4</v>
      </c>
      <c r="D9">
        <v>7</v>
      </c>
      <c r="E9" t="s">
        <v>306</v>
      </c>
      <c r="F9">
        <v>18422139</v>
      </c>
      <c r="G9">
        <v>18422139</v>
      </c>
      <c r="H9" t="s">
        <v>328</v>
      </c>
      <c r="I9">
        <v>10</v>
      </c>
      <c r="J9">
        <v>3</v>
      </c>
      <c r="K9">
        <v>24.36</v>
      </c>
      <c r="L9">
        <v>73.08</v>
      </c>
      <c r="M9" t="s">
        <v>308</v>
      </c>
      <c r="N9" t="s">
        <v>309</v>
      </c>
      <c r="O9">
        <v>0</v>
      </c>
      <c r="P9">
        <v>861</v>
      </c>
      <c r="Q9" t="s">
        <v>310</v>
      </c>
      <c r="R9" t="s">
        <v>57</v>
      </c>
      <c r="S9" t="s">
        <v>57</v>
      </c>
      <c r="T9" t="s">
        <v>57</v>
      </c>
      <c r="U9" t="s">
        <v>57</v>
      </c>
      <c r="V9" t="s">
        <v>311</v>
      </c>
      <c r="W9" t="s">
        <v>57</v>
      </c>
      <c r="Z9" t="s">
        <v>57</v>
      </c>
      <c r="AA9" t="s">
        <v>329</v>
      </c>
      <c r="AB9" t="s">
        <v>57</v>
      </c>
      <c r="AC9" t="s">
        <v>57</v>
      </c>
      <c r="AD9" t="s">
        <v>57</v>
      </c>
      <c r="AE9">
        <v>4</v>
      </c>
      <c r="AF9">
        <v>1</v>
      </c>
      <c r="AG9">
        <v>0</v>
      </c>
      <c r="AH9">
        <v>0</v>
      </c>
      <c r="AI9" t="s">
        <v>57</v>
      </c>
      <c r="AJ9" t="s">
        <v>57</v>
      </c>
    </row>
    <row r="10" spans="1:36" x14ac:dyDescent="0.25">
      <c r="A10">
        <v>9</v>
      </c>
      <c r="B10">
        <v>28</v>
      </c>
      <c r="C10">
        <v>5</v>
      </c>
      <c r="D10">
        <v>9</v>
      </c>
      <c r="E10" t="s">
        <v>306</v>
      </c>
      <c r="F10">
        <v>18491845</v>
      </c>
      <c r="G10">
        <v>18491845</v>
      </c>
      <c r="H10" t="s">
        <v>330</v>
      </c>
      <c r="I10">
        <v>10</v>
      </c>
      <c r="J10">
        <v>6</v>
      </c>
      <c r="K10">
        <v>250</v>
      </c>
      <c r="L10">
        <v>1500</v>
      </c>
      <c r="M10" t="s">
        <v>308</v>
      </c>
      <c r="N10" t="s">
        <v>309</v>
      </c>
      <c r="O10">
        <v>0</v>
      </c>
      <c r="P10">
        <v>861</v>
      </c>
      <c r="Q10" t="s">
        <v>310</v>
      </c>
      <c r="R10" t="s">
        <v>57</v>
      </c>
      <c r="S10" t="s">
        <v>57</v>
      </c>
      <c r="T10" t="s">
        <v>57</v>
      </c>
      <c r="U10" t="s">
        <v>57</v>
      </c>
      <c r="V10" t="s">
        <v>311</v>
      </c>
      <c r="W10" t="s">
        <v>57</v>
      </c>
      <c r="Z10" t="s">
        <v>57</v>
      </c>
      <c r="AA10" t="s">
        <v>331</v>
      </c>
      <c r="AB10" t="s">
        <v>57</v>
      </c>
      <c r="AC10" t="s">
        <v>57</v>
      </c>
      <c r="AD10" t="s">
        <v>57</v>
      </c>
      <c r="AE10">
        <v>5</v>
      </c>
      <c r="AF10">
        <v>2</v>
      </c>
      <c r="AG10">
        <v>0</v>
      </c>
      <c r="AH10">
        <v>0</v>
      </c>
      <c r="AI10" t="s">
        <v>57</v>
      </c>
      <c r="AJ10" t="s">
        <v>57</v>
      </c>
    </row>
    <row r="11" spans="1:36" x14ac:dyDescent="0.25">
      <c r="A11">
        <v>10</v>
      </c>
      <c r="B11">
        <v>31</v>
      </c>
      <c r="C11">
        <v>4</v>
      </c>
      <c r="D11">
        <v>6</v>
      </c>
      <c r="E11" t="s">
        <v>306</v>
      </c>
      <c r="F11">
        <v>18303940</v>
      </c>
      <c r="G11">
        <v>18303940</v>
      </c>
      <c r="H11" t="s">
        <v>332</v>
      </c>
      <c r="I11">
        <v>10</v>
      </c>
      <c r="J11">
        <v>8</v>
      </c>
      <c r="K11">
        <v>155</v>
      </c>
      <c r="L11">
        <v>1240</v>
      </c>
      <c r="M11" t="s">
        <v>314</v>
      </c>
      <c r="N11" t="s">
        <v>315</v>
      </c>
      <c r="O11">
        <v>120.9</v>
      </c>
      <c r="P11">
        <v>861</v>
      </c>
      <c r="Q11" t="s">
        <v>310</v>
      </c>
      <c r="R11" t="s">
        <v>57</v>
      </c>
      <c r="S11" t="s">
        <v>57</v>
      </c>
      <c r="T11" t="s">
        <v>57</v>
      </c>
      <c r="U11" t="s">
        <v>57</v>
      </c>
      <c r="V11" t="s">
        <v>311</v>
      </c>
      <c r="W11" t="s">
        <v>57</v>
      </c>
      <c r="Z11" t="s">
        <v>57</v>
      </c>
      <c r="AA11" t="s">
        <v>333</v>
      </c>
      <c r="AB11" t="s">
        <v>57</v>
      </c>
      <c r="AC11" t="s">
        <v>57</v>
      </c>
      <c r="AD11" t="s">
        <v>57</v>
      </c>
      <c r="AE11">
        <v>4</v>
      </c>
      <c r="AF11">
        <v>1</v>
      </c>
      <c r="AG11">
        <v>0</v>
      </c>
      <c r="AH11">
        <v>0</v>
      </c>
      <c r="AI11" t="s">
        <v>57</v>
      </c>
      <c r="AJ11" t="s">
        <v>57</v>
      </c>
    </row>
    <row r="12" spans="1:36" x14ac:dyDescent="0.25">
      <c r="A12">
        <v>11</v>
      </c>
      <c r="B12">
        <v>31</v>
      </c>
      <c r="C12">
        <v>5</v>
      </c>
      <c r="D12">
        <v>9</v>
      </c>
      <c r="E12" t="s">
        <v>306</v>
      </c>
      <c r="F12">
        <v>18302554</v>
      </c>
      <c r="G12">
        <v>18302554</v>
      </c>
      <c r="H12" t="s">
        <v>334</v>
      </c>
      <c r="I12">
        <v>26</v>
      </c>
      <c r="J12">
        <v>3</v>
      </c>
      <c r="K12">
        <v>32</v>
      </c>
      <c r="L12">
        <v>96</v>
      </c>
      <c r="M12" t="s">
        <v>308</v>
      </c>
      <c r="N12" t="s">
        <v>335</v>
      </c>
      <c r="O12">
        <v>0</v>
      </c>
      <c r="P12">
        <v>861</v>
      </c>
      <c r="Q12" t="s">
        <v>316</v>
      </c>
      <c r="R12" t="s">
        <v>57</v>
      </c>
      <c r="S12" t="s">
        <v>57</v>
      </c>
      <c r="T12" t="s">
        <v>57</v>
      </c>
      <c r="U12" t="s">
        <v>57</v>
      </c>
      <c r="V12" t="s">
        <v>311</v>
      </c>
      <c r="W12" t="s">
        <v>57</v>
      </c>
      <c r="Z12" t="s">
        <v>57</v>
      </c>
      <c r="AA12" t="s">
        <v>336</v>
      </c>
      <c r="AB12" t="s">
        <v>57</v>
      </c>
      <c r="AC12" t="s">
        <v>57</v>
      </c>
      <c r="AD12" t="s">
        <v>57</v>
      </c>
      <c r="AE12">
        <v>5</v>
      </c>
      <c r="AF12">
        <v>2</v>
      </c>
      <c r="AG12">
        <v>0</v>
      </c>
      <c r="AH12">
        <v>0</v>
      </c>
      <c r="AI12" t="s">
        <v>57</v>
      </c>
      <c r="AJ12" t="s">
        <v>57</v>
      </c>
    </row>
    <row r="13" spans="1:36" x14ac:dyDescent="0.25">
      <c r="A13">
        <v>12</v>
      </c>
      <c r="B13">
        <v>34</v>
      </c>
      <c r="C13">
        <v>4</v>
      </c>
      <c r="D13">
        <v>5</v>
      </c>
      <c r="E13" t="s">
        <v>306</v>
      </c>
      <c r="F13">
        <v>10308161</v>
      </c>
      <c r="G13">
        <v>10308161</v>
      </c>
      <c r="H13" t="s">
        <v>337</v>
      </c>
      <c r="I13">
        <v>26</v>
      </c>
      <c r="J13">
        <v>1</v>
      </c>
      <c r="K13">
        <v>89</v>
      </c>
      <c r="L13">
        <v>89</v>
      </c>
      <c r="M13" t="s">
        <v>308</v>
      </c>
      <c r="N13" t="s">
        <v>335</v>
      </c>
      <c r="O13">
        <v>0</v>
      </c>
      <c r="P13">
        <v>861</v>
      </c>
      <c r="Q13" t="s">
        <v>316</v>
      </c>
      <c r="R13" t="s">
        <v>57</v>
      </c>
      <c r="S13" t="s">
        <v>57</v>
      </c>
      <c r="T13" t="s">
        <v>57</v>
      </c>
      <c r="U13" t="s">
        <v>57</v>
      </c>
      <c r="V13" t="s">
        <v>311</v>
      </c>
      <c r="W13" t="s">
        <v>57</v>
      </c>
      <c r="Z13" t="s">
        <v>57</v>
      </c>
      <c r="AA13" t="s">
        <v>338</v>
      </c>
      <c r="AB13" t="s">
        <v>57</v>
      </c>
      <c r="AC13" t="s">
        <v>57</v>
      </c>
      <c r="AD13" t="s">
        <v>57</v>
      </c>
      <c r="AE13">
        <v>4</v>
      </c>
      <c r="AF13">
        <v>1</v>
      </c>
      <c r="AG13">
        <v>0</v>
      </c>
      <c r="AH13">
        <v>0</v>
      </c>
      <c r="AI13" t="s">
        <v>57</v>
      </c>
      <c r="AJ13" t="s">
        <v>57</v>
      </c>
    </row>
    <row r="14" spans="1:36" x14ac:dyDescent="0.25">
      <c r="A14">
        <v>13</v>
      </c>
      <c r="B14">
        <v>41</v>
      </c>
      <c r="C14">
        <v>5</v>
      </c>
      <c r="D14">
        <v>5</v>
      </c>
      <c r="E14" t="s">
        <v>190</v>
      </c>
      <c r="F14">
        <v>17874342</v>
      </c>
      <c r="G14">
        <v>17874342</v>
      </c>
      <c r="H14" t="s">
        <v>325</v>
      </c>
      <c r="I14">
        <v>10</v>
      </c>
      <c r="J14">
        <v>-1</v>
      </c>
      <c r="K14">
        <v>98000</v>
      </c>
      <c r="L14">
        <v>-98000</v>
      </c>
      <c r="M14" t="s">
        <v>308</v>
      </c>
      <c r="N14" t="s">
        <v>309</v>
      </c>
      <c r="O14">
        <v>0</v>
      </c>
      <c r="P14">
        <v>861</v>
      </c>
      <c r="Q14" t="s">
        <v>310</v>
      </c>
      <c r="R14">
        <v>10</v>
      </c>
      <c r="S14">
        <v>861</v>
      </c>
      <c r="T14">
        <v>156</v>
      </c>
      <c r="U14" s="2">
        <v>46175.405428240738</v>
      </c>
      <c r="V14" t="s">
        <v>311</v>
      </c>
      <c r="W14" t="s">
        <v>57</v>
      </c>
      <c r="Z14" t="s">
        <v>57</v>
      </c>
      <c r="AA14" t="s">
        <v>339</v>
      </c>
      <c r="AB14" t="s">
        <v>57</v>
      </c>
      <c r="AC14" t="s">
        <v>57</v>
      </c>
      <c r="AD14" t="s">
        <v>57</v>
      </c>
      <c r="AE14">
        <v>5</v>
      </c>
      <c r="AF14">
        <v>1</v>
      </c>
      <c r="AG14">
        <v>0</v>
      </c>
      <c r="AH14">
        <v>0</v>
      </c>
      <c r="AI14" t="s">
        <v>57</v>
      </c>
      <c r="AJ14" t="s">
        <v>57</v>
      </c>
    </row>
    <row r="15" spans="1:36" x14ac:dyDescent="0.25">
      <c r="A15">
        <v>14</v>
      </c>
      <c r="B15">
        <v>44</v>
      </c>
      <c r="C15">
        <v>4</v>
      </c>
      <c r="D15">
        <v>6</v>
      </c>
      <c r="E15" t="s">
        <v>306</v>
      </c>
      <c r="F15">
        <v>18304121</v>
      </c>
      <c r="G15">
        <v>18304121</v>
      </c>
      <c r="H15" t="s">
        <v>340</v>
      </c>
      <c r="I15">
        <v>10</v>
      </c>
      <c r="J15">
        <v>5</v>
      </c>
      <c r="K15">
        <v>30</v>
      </c>
      <c r="L15">
        <v>135</v>
      </c>
      <c r="M15" t="s">
        <v>314</v>
      </c>
      <c r="N15" t="s">
        <v>315</v>
      </c>
      <c r="O15">
        <v>13.16</v>
      </c>
      <c r="P15">
        <v>861</v>
      </c>
      <c r="Q15" t="s">
        <v>310</v>
      </c>
      <c r="R15" t="s">
        <v>57</v>
      </c>
      <c r="S15" t="s">
        <v>57</v>
      </c>
      <c r="T15" t="s">
        <v>57</v>
      </c>
      <c r="U15" t="s">
        <v>57</v>
      </c>
      <c r="V15" t="s">
        <v>311</v>
      </c>
      <c r="W15">
        <v>15</v>
      </c>
      <c r="X15" t="s">
        <v>341</v>
      </c>
      <c r="Y15" t="s">
        <v>342</v>
      </c>
      <c r="Z15">
        <v>30</v>
      </c>
      <c r="AA15" t="s">
        <v>343</v>
      </c>
      <c r="AB15" t="s">
        <v>57</v>
      </c>
      <c r="AC15" t="s">
        <v>57</v>
      </c>
      <c r="AD15" t="s">
        <v>57</v>
      </c>
      <c r="AE15">
        <v>4</v>
      </c>
      <c r="AF15">
        <v>1</v>
      </c>
      <c r="AG15">
        <v>0</v>
      </c>
      <c r="AH15">
        <v>0</v>
      </c>
      <c r="AI15" t="s">
        <v>57</v>
      </c>
      <c r="AJ15" t="s">
        <v>57</v>
      </c>
    </row>
    <row r="16" spans="1:36" x14ac:dyDescent="0.25">
      <c r="A16">
        <v>15</v>
      </c>
      <c r="B16">
        <v>47</v>
      </c>
      <c r="C16">
        <v>4</v>
      </c>
      <c r="D16">
        <v>6</v>
      </c>
      <c r="E16" t="s">
        <v>306</v>
      </c>
      <c r="F16">
        <v>18304138</v>
      </c>
      <c r="G16">
        <v>18304138</v>
      </c>
      <c r="H16" t="s">
        <v>344</v>
      </c>
      <c r="I16">
        <v>10</v>
      </c>
      <c r="J16">
        <v>4</v>
      </c>
      <c r="K16">
        <v>39</v>
      </c>
      <c r="L16">
        <v>156</v>
      </c>
      <c r="M16" t="s">
        <v>314</v>
      </c>
      <c r="N16" t="s">
        <v>315</v>
      </c>
      <c r="O16">
        <v>15.21</v>
      </c>
      <c r="P16">
        <v>861</v>
      </c>
      <c r="Q16" t="s">
        <v>310</v>
      </c>
      <c r="R16" t="s">
        <v>57</v>
      </c>
      <c r="S16" t="s">
        <v>57</v>
      </c>
      <c r="T16" t="s">
        <v>57</v>
      </c>
      <c r="U16" t="s">
        <v>57</v>
      </c>
      <c r="V16" t="s">
        <v>311</v>
      </c>
      <c r="W16" t="s">
        <v>57</v>
      </c>
      <c r="Z16" t="s">
        <v>57</v>
      </c>
      <c r="AA16" t="s">
        <v>345</v>
      </c>
      <c r="AB16" t="s">
        <v>57</v>
      </c>
      <c r="AC16" t="s">
        <v>57</v>
      </c>
      <c r="AD16" t="s">
        <v>57</v>
      </c>
      <c r="AE16">
        <v>4</v>
      </c>
      <c r="AF16">
        <v>1</v>
      </c>
      <c r="AG16">
        <v>0</v>
      </c>
      <c r="AH16">
        <v>0</v>
      </c>
      <c r="AI16" t="s">
        <v>57</v>
      </c>
      <c r="AJ16" t="s">
        <v>57</v>
      </c>
    </row>
    <row r="17" spans="1:36" x14ac:dyDescent="0.25">
      <c r="A17">
        <v>16</v>
      </c>
      <c r="B17">
        <v>47</v>
      </c>
      <c r="C17">
        <v>5</v>
      </c>
      <c r="D17">
        <v>9</v>
      </c>
      <c r="E17" t="s">
        <v>306</v>
      </c>
      <c r="F17">
        <v>18307047</v>
      </c>
      <c r="G17">
        <v>18307047</v>
      </c>
      <c r="H17" t="s">
        <v>346</v>
      </c>
      <c r="I17">
        <v>81</v>
      </c>
      <c r="J17">
        <v>3</v>
      </c>
      <c r="K17">
        <v>8</v>
      </c>
      <c r="L17">
        <v>24</v>
      </c>
      <c r="M17" t="s">
        <v>314</v>
      </c>
      <c r="N17" t="s">
        <v>315</v>
      </c>
      <c r="O17">
        <v>2.34</v>
      </c>
      <c r="P17">
        <v>861</v>
      </c>
      <c r="Q17" t="s">
        <v>316</v>
      </c>
      <c r="R17" t="s">
        <v>57</v>
      </c>
      <c r="S17" t="s">
        <v>57</v>
      </c>
      <c r="T17" t="s">
        <v>57</v>
      </c>
      <c r="U17" t="s">
        <v>57</v>
      </c>
      <c r="V17" t="s">
        <v>311</v>
      </c>
      <c r="W17" t="s">
        <v>57</v>
      </c>
      <c r="Z17" t="s">
        <v>57</v>
      </c>
      <c r="AA17" t="s">
        <v>347</v>
      </c>
      <c r="AB17" t="s">
        <v>57</v>
      </c>
      <c r="AC17" t="s">
        <v>57</v>
      </c>
      <c r="AD17" t="s">
        <v>57</v>
      </c>
      <c r="AE17">
        <v>5</v>
      </c>
      <c r="AF17">
        <v>2</v>
      </c>
      <c r="AG17">
        <v>0</v>
      </c>
      <c r="AH17">
        <v>0</v>
      </c>
      <c r="AI17" t="s">
        <v>57</v>
      </c>
      <c r="AJ17" t="s">
        <v>57</v>
      </c>
    </row>
    <row r="18" spans="1:36" x14ac:dyDescent="0.25">
      <c r="A18">
        <v>17</v>
      </c>
      <c r="B18">
        <v>47</v>
      </c>
      <c r="C18">
        <v>6</v>
      </c>
      <c r="D18">
        <v>12</v>
      </c>
      <c r="E18" t="s">
        <v>306</v>
      </c>
      <c r="F18">
        <v>18318616</v>
      </c>
      <c r="G18">
        <v>18318616</v>
      </c>
      <c r="H18" t="s">
        <v>348</v>
      </c>
      <c r="I18">
        <v>10</v>
      </c>
      <c r="J18">
        <v>8</v>
      </c>
      <c r="K18">
        <v>99</v>
      </c>
      <c r="L18">
        <v>792</v>
      </c>
      <c r="M18" t="s">
        <v>314</v>
      </c>
      <c r="N18" t="s">
        <v>315</v>
      </c>
      <c r="O18">
        <v>77.22</v>
      </c>
      <c r="P18">
        <v>861</v>
      </c>
      <c r="Q18" t="s">
        <v>310</v>
      </c>
      <c r="R18" t="s">
        <v>57</v>
      </c>
      <c r="S18" t="s">
        <v>57</v>
      </c>
      <c r="T18" t="s">
        <v>57</v>
      </c>
      <c r="U18" t="s">
        <v>57</v>
      </c>
      <c r="V18" t="s">
        <v>311</v>
      </c>
      <c r="W18" t="s">
        <v>57</v>
      </c>
      <c r="Z18" t="s">
        <v>57</v>
      </c>
      <c r="AA18" t="s">
        <v>349</v>
      </c>
      <c r="AB18" t="s">
        <v>57</v>
      </c>
      <c r="AC18" t="s">
        <v>57</v>
      </c>
      <c r="AD18" t="s">
        <v>57</v>
      </c>
      <c r="AE18">
        <v>6</v>
      </c>
      <c r="AF18">
        <v>3</v>
      </c>
      <c r="AG18">
        <v>0</v>
      </c>
      <c r="AH18">
        <v>0</v>
      </c>
      <c r="AI18" t="s">
        <v>57</v>
      </c>
      <c r="AJ18" t="s">
        <v>57</v>
      </c>
    </row>
    <row r="19" spans="1:36" x14ac:dyDescent="0.25">
      <c r="A19">
        <v>18</v>
      </c>
      <c r="B19">
        <v>54</v>
      </c>
      <c r="C19">
        <v>4</v>
      </c>
      <c r="D19">
        <v>5</v>
      </c>
      <c r="E19" t="s">
        <v>306</v>
      </c>
      <c r="F19">
        <v>18246551</v>
      </c>
      <c r="G19">
        <v>18246551</v>
      </c>
      <c r="H19" t="s">
        <v>350</v>
      </c>
      <c r="I19">
        <v>26</v>
      </c>
      <c r="J19">
        <v>1</v>
      </c>
      <c r="K19">
        <v>16</v>
      </c>
      <c r="L19">
        <v>16</v>
      </c>
      <c r="M19" t="s">
        <v>308</v>
      </c>
      <c r="N19" t="s">
        <v>335</v>
      </c>
      <c r="O19">
        <v>0</v>
      </c>
      <c r="P19">
        <v>861</v>
      </c>
      <c r="Q19" t="s">
        <v>316</v>
      </c>
      <c r="R19" t="s">
        <v>57</v>
      </c>
      <c r="S19" t="s">
        <v>57</v>
      </c>
      <c r="T19" t="s">
        <v>57</v>
      </c>
      <c r="U19" t="s">
        <v>57</v>
      </c>
      <c r="V19" t="s">
        <v>311</v>
      </c>
      <c r="W19" t="s">
        <v>57</v>
      </c>
      <c r="Z19" t="s">
        <v>57</v>
      </c>
      <c r="AA19" t="s">
        <v>351</v>
      </c>
      <c r="AB19" t="s">
        <v>57</v>
      </c>
      <c r="AC19" t="s">
        <v>57</v>
      </c>
      <c r="AD19" t="s">
        <v>57</v>
      </c>
      <c r="AE19">
        <v>4</v>
      </c>
      <c r="AF19">
        <v>1</v>
      </c>
      <c r="AG19">
        <v>0</v>
      </c>
      <c r="AH19">
        <v>0</v>
      </c>
      <c r="AI19" t="s">
        <v>57</v>
      </c>
      <c r="AJ19" t="s">
        <v>57</v>
      </c>
    </row>
    <row r="20" spans="1:36" x14ac:dyDescent="0.25">
      <c r="A20">
        <v>19</v>
      </c>
      <c r="B20">
        <v>54</v>
      </c>
      <c r="C20">
        <v>5</v>
      </c>
      <c r="D20">
        <v>9</v>
      </c>
      <c r="E20" t="s">
        <v>306</v>
      </c>
      <c r="F20">
        <v>18422146</v>
      </c>
      <c r="G20">
        <v>18422146</v>
      </c>
      <c r="H20" t="s">
        <v>352</v>
      </c>
      <c r="I20">
        <v>10</v>
      </c>
      <c r="J20">
        <v>3</v>
      </c>
      <c r="K20">
        <v>45</v>
      </c>
      <c r="L20">
        <v>135</v>
      </c>
      <c r="M20" t="s">
        <v>314</v>
      </c>
      <c r="N20" t="s">
        <v>315</v>
      </c>
      <c r="O20">
        <v>13.16</v>
      </c>
      <c r="P20">
        <v>861</v>
      </c>
      <c r="Q20" t="s">
        <v>310</v>
      </c>
      <c r="R20" t="s">
        <v>57</v>
      </c>
      <c r="S20" t="s">
        <v>57</v>
      </c>
      <c r="T20" t="s">
        <v>57</v>
      </c>
      <c r="U20" t="s">
        <v>57</v>
      </c>
      <c r="V20" t="s">
        <v>311</v>
      </c>
      <c r="W20" t="s">
        <v>57</v>
      </c>
      <c r="Z20" t="s">
        <v>57</v>
      </c>
      <c r="AA20" t="s">
        <v>353</v>
      </c>
      <c r="AB20" t="s">
        <v>57</v>
      </c>
      <c r="AC20" t="s">
        <v>57</v>
      </c>
      <c r="AD20" t="s">
        <v>57</v>
      </c>
      <c r="AE20">
        <v>5</v>
      </c>
      <c r="AF20">
        <v>2</v>
      </c>
      <c r="AG20">
        <v>0</v>
      </c>
      <c r="AH20">
        <v>0</v>
      </c>
      <c r="AI20" t="s">
        <v>57</v>
      </c>
      <c r="AJ20" t="s">
        <v>57</v>
      </c>
    </row>
    <row r="21" spans="1:36" x14ac:dyDescent="0.25">
      <c r="A21">
        <v>20</v>
      </c>
      <c r="B21">
        <v>57</v>
      </c>
      <c r="C21">
        <v>5</v>
      </c>
      <c r="D21">
        <v>5</v>
      </c>
      <c r="E21" t="s">
        <v>190</v>
      </c>
      <c r="F21">
        <v>18246551</v>
      </c>
      <c r="G21">
        <v>18246551</v>
      </c>
      <c r="H21" t="s">
        <v>350</v>
      </c>
      <c r="I21">
        <v>26</v>
      </c>
      <c r="J21">
        <v>-1</v>
      </c>
      <c r="K21">
        <v>16</v>
      </c>
      <c r="L21">
        <v>-16</v>
      </c>
      <c r="M21" t="s">
        <v>308</v>
      </c>
      <c r="N21" t="s">
        <v>335</v>
      </c>
      <c r="O21">
        <v>0</v>
      </c>
      <c r="P21">
        <v>861</v>
      </c>
      <c r="Q21" t="s">
        <v>316</v>
      </c>
      <c r="R21">
        <v>10</v>
      </c>
      <c r="S21">
        <v>861</v>
      </c>
      <c r="T21">
        <v>185</v>
      </c>
      <c r="U21" s="2">
        <v>46178.278391203705</v>
      </c>
      <c r="V21" t="s">
        <v>311</v>
      </c>
      <c r="W21" t="s">
        <v>57</v>
      </c>
      <c r="Z21" t="s">
        <v>57</v>
      </c>
      <c r="AA21" t="s">
        <v>354</v>
      </c>
      <c r="AB21" t="s">
        <v>57</v>
      </c>
      <c r="AC21" t="s">
        <v>57</v>
      </c>
      <c r="AD21" t="s">
        <v>57</v>
      </c>
      <c r="AE21">
        <v>5</v>
      </c>
      <c r="AF21">
        <v>1</v>
      </c>
      <c r="AG21">
        <v>0</v>
      </c>
      <c r="AH21">
        <v>0</v>
      </c>
      <c r="AI21" t="s">
        <v>57</v>
      </c>
      <c r="AJ21" t="s">
        <v>57</v>
      </c>
    </row>
    <row r="22" spans="1:36" x14ac:dyDescent="0.25">
      <c r="A22">
        <v>21</v>
      </c>
      <c r="B22">
        <v>57</v>
      </c>
      <c r="C22">
        <v>6</v>
      </c>
      <c r="D22">
        <v>7</v>
      </c>
      <c r="E22" t="s">
        <v>190</v>
      </c>
      <c r="F22">
        <v>18422146</v>
      </c>
      <c r="G22">
        <v>18422146</v>
      </c>
      <c r="H22" t="s">
        <v>352</v>
      </c>
      <c r="I22">
        <v>10</v>
      </c>
      <c r="J22">
        <v>-3</v>
      </c>
      <c r="K22">
        <v>45</v>
      </c>
      <c r="L22">
        <v>-135</v>
      </c>
      <c r="M22" t="s">
        <v>314</v>
      </c>
      <c r="N22" t="s">
        <v>315</v>
      </c>
      <c r="O22">
        <v>-13.16</v>
      </c>
      <c r="P22">
        <v>861</v>
      </c>
      <c r="Q22" t="s">
        <v>310</v>
      </c>
      <c r="R22">
        <v>10</v>
      </c>
      <c r="S22">
        <v>861</v>
      </c>
      <c r="T22">
        <v>185</v>
      </c>
      <c r="U22" s="2">
        <v>46178.278391203705</v>
      </c>
      <c r="V22" t="s">
        <v>311</v>
      </c>
      <c r="W22" t="s">
        <v>57</v>
      </c>
      <c r="Z22" t="s">
        <v>57</v>
      </c>
      <c r="AA22" t="s">
        <v>355</v>
      </c>
      <c r="AB22" t="s">
        <v>57</v>
      </c>
      <c r="AC22" t="s">
        <v>57</v>
      </c>
      <c r="AD22" t="s">
        <v>57</v>
      </c>
      <c r="AE22">
        <v>6</v>
      </c>
      <c r="AF22">
        <v>2</v>
      </c>
      <c r="AG22">
        <v>0</v>
      </c>
      <c r="AH22">
        <v>0</v>
      </c>
      <c r="AI22" t="s">
        <v>57</v>
      </c>
      <c r="AJ22" t="s">
        <v>57</v>
      </c>
    </row>
    <row r="23" spans="1:36" x14ac:dyDescent="0.25">
      <c r="A23">
        <v>22</v>
      </c>
      <c r="B23">
        <v>60</v>
      </c>
      <c r="C23">
        <v>4</v>
      </c>
      <c r="D23">
        <v>6</v>
      </c>
      <c r="E23" t="s">
        <v>306</v>
      </c>
      <c r="F23">
        <v>17873550</v>
      </c>
      <c r="G23">
        <v>17873550</v>
      </c>
      <c r="H23" t="s">
        <v>356</v>
      </c>
      <c r="I23">
        <v>59</v>
      </c>
      <c r="J23">
        <v>3</v>
      </c>
      <c r="K23">
        <v>900</v>
      </c>
      <c r="L23">
        <v>2700</v>
      </c>
      <c r="M23" t="s">
        <v>314</v>
      </c>
      <c r="N23" t="s">
        <v>315</v>
      </c>
      <c r="O23">
        <v>263.25</v>
      </c>
      <c r="P23">
        <v>861</v>
      </c>
      <c r="Q23" t="s">
        <v>310</v>
      </c>
      <c r="R23" t="s">
        <v>57</v>
      </c>
      <c r="S23" t="s">
        <v>57</v>
      </c>
      <c r="T23" t="s">
        <v>57</v>
      </c>
      <c r="U23" t="s">
        <v>57</v>
      </c>
      <c r="V23" t="s">
        <v>311</v>
      </c>
      <c r="W23" t="s">
        <v>57</v>
      </c>
      <c r="Z23" t="s">
        <v>57</v>
      </c>
      <c r="AA23" t="s">
        <v>357</v>
      </c>
      <c r="AB23" t="s">
        <v>57</v>
      </c>
      <c r="AC23" t="s">
        <v>57</v>
      </c>
      <c r="AD23" t="s">
        <v>57</v>
      </c>
      <c r="AE23">
        <v>4</v>
      </c>
      <c r="AF23">
        <v>1</v>
      </c>
      <c r="AG23">
        <v>0</v>
      </c>
      <c r="AH23">
        <v>0</v>
      </c>
      <c r="AI23" t="s">
        <v>57</v>
      </c>
      <c r="AJ23" t="s">
        <v>57</v>
      </c>
    </row>
    <row r="24" spans="1:36" x14ac:dyDescent="0.25">
      <c r="A24">
        <v>23</v>
      </c>
      <c r="B24">
        <v>60</v>
      </c>
      <c r="C24">
        <v>5</v>
      </c>
      <c r="D24">
        <v>9</v>
      </c>
      <c r="E24" t="s">
        <v>306</v>
      </c>
      <c r="F24">
        <v>17866798</v>
      </c>
      <c r="G24">
        <v>17866798</v>
      </c>
      <c r="H24" t="s">
        <v>358</v>
      </c>
      <c r="I24">
        <v>59</v>
      </c>
      <c r="J24">
        <v>8</v>
      </c>
      <c r="K24">
        <v>2000</v>
      </c>
      <c r="L24">
        <v>16000</v>
      </c>
      <c r="M24" t="s">
        <v>314</v>
      </c>
      <c r="N24" t="s">
        <v>315</v>
      </c>
      <c r="O24">
        <v>1560</v>
      </c>
      <c r="P24">
        <v>861</v>
      </c>
      <c r="Q24" t="s">
        <v>310</v>
      </c>
      <c r="R24" t="s">
        <v>57</v>
      </c>
      <c r="S24" t="s">
        <v>57</v>
      </c>
      <c r="T24" t="s">
        <v>57</v>
      </c>
      <c r="U24" t="s">
        <v>57</v>
      </c>
      <c r="V24" t="s">
        <v>311</v>
      </c>
      <c r="W24" t="s">
        <v>57</v>
      </c>
      <c r="Z24" t="s">
        <v>57</v>
      </c>
      <c r="AA24" t="s">
        <v>359</v>
      </c>
      <c r="AB24" t="s">
        <v>57</v>
      </c>
      <c r="AC24" t="s">
        <v>57</v>
      </c>
      <c r="AD24" t="s">
        <v>57</v>
      </c>
      <c r="AE24">
        <v>5</v>
      </c>
      <c r="AF24">
        <v>2</v>
      </c>
      <c r="AG24">
        <v>0</v>
      </c>
      <c r="AH24">
        <v>0</v>
      </c>
      <c r="AI24" t="s">
        <v>57</v>
      </c>
      <c r="AJ24" t="s">
        <v>57</v>
      </c>
    </row>
    <row r="25" spans="1:36" x14ac:dyDescent="0.25">
      <c r="A25">
        <v>24</v>
      </c>
      <c r="B25">
        <v>62</v>
      </c>
      <c r="C25">
        <v>4</v>
      </c>
      <c r="D25">
        <v>5</v>
      </c>
      <c r="E25" t="s">
        <v>306</v>
      </c>
      <c r="F25">
        <v>18302394</v>
      </c>
      <c r="G25">
        <v>18302394</v>
      </c>
      <c r="H25" t="s">
        <v>360</v>
      </c>
      <c r="I25">
        <v>26</v>
      </c>
      <c r="J25">
        <v>1</v>
      </c>
      <c r="K25">
        <v>16</v>
      </c>
      <c r="L25">
        <v>16</v>
      </c>
      <c r="M25" t="s">
        <v>308</v>
      </c>
      <c r="N25" t="s">
        <v>335</v>
      </c>
      <c r="O25">
        <v>0</v>
      </c>
      <c r="P25">
        <v>861</v>
      </c>
      <c r="Q25" t="s">
        <v>316</v>
      </c>
      <c r="R25" t="s">
        <v>57</v>
      </c>
      <c r="S25" t="s">
        <v>57</v>
      </c>
      <c r="T25" t="s">
        <v>57</v>
      </c>
      <c r="U25" t="s">
        <v>57</v>
      </c>
      <c r="V25" t="s">
        <v>311</v>
      </c>
      <c r="W25" t="s">
        <v>57</v>
      </c>
      <c r="Z25" t="s">
        <v>57</v>
      </c>
      <c r="AA25" t="s">
        <v>361</v>
      </c>
      <c r="AB25" t="s">
        <v>57</v>
      </c>
      <c r="AC25" t="s">
        <v>57</v>
      </c>
      <c r="AD25" t="s">
        <v>57</v>
      </c>
      <c r="AE25">
        <v>4</v>
      </c>
      <c r="AF25">
        <v>1</v>
      </c>
      <c r="AG25">
        <v>0</v>
      </c>
      <c r="AH25">
        <v>0</v>
      </c>
      <c r="AI25" t="s">
        <v>57</v>
      </c>
      <c r="AJ25" t="s">
        <v>57</v>
      </c>
    </row>
    <row r="26" spans="1:36" x14ac:dyDescent="0.25">
      <c r="A26">
        <v>25</v>
      </c>
      <c r="B26">
        <v>63</v>
      </c>
      <c r="C26">
        <v>5</v>
      </c>
      <c r="D26">
        <v>13</v>
      </c>
      <c r="E26" t="s">
        <v>306</v>
      </c>
      <c r="F26">
        <v>18422146</v>
      </c>
      <c r="G26">
        <v>18422146</v>
      </c>
      <c r="H26" t="s">
        <v>352</v>
      </c>
      <c r="I26">
        <v>10</v>
      </c>
      <c r="J26">
        <v>1</v>
      </c>
      <c r="K26">
        <v>1000</v>
      </c>
      <c r="L26">
        <v>1000</v>
      </c>
      <c r="M26" t="s">
        <v>314</v>
      </c>
      <c r="N26" t="s">
        <v>315</v>
      </c>
      <c r="O26">
        <v>97.5</v>
      </c>
      <c r="P26">
        <v>861</v>
      </c>
      <c r="Q26" t="s">
        <v>310</v>
      </c>
      <c r="R26" t="s">
        <v>57</v>
      </c>
      <c r="S26" t="s">
        <v>57</v>
      </c>
      <c r="T26" t="s">
        <v>57</v>
      </c>
      <c r="U26" t="s">
        <v>57</v>
      </c>
      <c r="V26" t="s">
        <v>311</v>
      </c>
      <c r="W26" t="s">
        <v>57</v>
      </c>
      <c r="Z26" t="s">
        <v>57</v>
      </c>
      <c r="AA26" t="s">
        <v>362</v>
      </c>
      <c r="AB26" t="s">
        <v>57</v>
      </c>
      <c r="AC26" t="s">
        <v>57</v>
      </c>
      <c r="AD26" t="s">
        <v>57</v>
      </c>
      <c r="AE26">
        <v>5</v>
      </c>
      <c r="AF26">
        <v>1</v>
      </c>
      <c r="AG26">
        <v>0</v>
      </c>
      <c r="AH26">
        <v>0</v>
      </c>
      <c r="AI26" t="s">
        <v>57</v>
      </c>
      <c r="AJ26" t="s">
        <v>57</v>
      </c>
    </row>
    <row r="27" spans="1:36" x14ac:dyDescent="0.25">
      <c r="A27">
        <v>26</v>
      </c>
      <c r="B27">
        <v>63</v>
      </c>
      <c r="C27">
        <v>6</v>
      </c>
      <c r="D27">
        <v>15</v>
      </c>
      <c r="E27" t="s">
        <v>306</v>
      </c>
      <c r="F27">
        <v>18302394</v>
      </c>
      <c r="G27">
        <v>18302394</v>
      </c>
      <c r="H27" t="s">
        <v>360</v>
      </c>
      <c r="I27">
        <v>26</v>
      </c>
      <c r="J27">
        <v>1</v>
      </c>
      <c r="K27">
        <v>16</v>
      </c>
      <c r="L27">
        <v>16</v>
      </c>
      <c r="M27" t="s">
        <v>308</v>
      </c>
      <c r="N27" t="s">
        <v>335</v>
      </c>
      <c r="O27">
        <v>0</v>
      </c>
      <c r="P27">
        <v>861</v>
      </c>
      <c r="Q27" t="s">
        <v>316</v>
      </c>
      <c r="R27" t="s">
        <v>57</v>
      </c>
      <c r="S27" t="s">
        <v>57</v>
      </c>
      <c r="T27" t="s">
        <v>57</v>
      </c>
      <c r="U27" t="s">
        <v>57</v>
      </c>
      <c r="V27" t="s">
        <v>311</v>
      </c>
      <c r="W27" t="s">
        <v>57</v>
      </c>
      <c r="Z27" t="s">
        <v>57</v>
      </c>
      <c r="AA27" t="s">
        <v>363</v>
      </c>
      <c r="AB27" t="s">
        <v>57</v>
      </c>
      <c r="AC27" t="s">
        <v>57</v>
      </c>
      <c r="AD27" t="s">
        <v>57</v>
      </c>
      <c r="AE27">
        <v>6</v>
      </c>
      <c r="AF27">
        <v>2</v>
      </c>
      <c r="AG27">
        <v>0</v>
      </c>
      <c r="AH27">
        <v>0</v>
      </c>
      <c r="AI27" t="s">
        <v>57</v>
      </c>
      <c r="AJ27" t="s">
        <v>57</v>
      </c>
    </row>
    <row r="28" spans="1:36" x14ac:dyDescent="0.25">
      <c r="A28">
        <v>27</v>
      </c>
      <c r="B28">
        <v>63</v>
      </c>
      <c r="C28">
        <v>7</v>
      </c>
      <c r="D28">
        <v>17</v>
      </c>
      <c r="E28" t="s">
        <v>306</v>
      </c>
      <c r="F28">
        <v>17843508</v>
      </c>
      <c r="G28">
        <v>17843508</v>
      </c>
      <c r="H28" t="s">
        <v>364</v>
      </c>
      <c r="I28">
        <v>59</v>
      </c>
      <c r="J28">
        <v>2</v>
      </c>
      <c r="K28">
        <v>260</v>
      </c>
      <c r="L28">
        <v>520</v>
      </c>
      <c r="M28" t="s">
        <v>314</v>
      </c>
      <c r="N28" t="s">
        <v>315</v>
      </c>
      <c r="O28">
        <v>50.7</v>
      </c>
      <c r="P28">
        <v>861</v>
      </c>
      <c r="Q28" t="s">
        <v>310</v>
      </c>
      <c r="R28" t="s">
        <v>57</v>
      </c>
      <c r="S28" t="s">
        <v>57</v>
      </c>
      <c r="T28" t="s">
        <v>57</v>
      </c>
      <c r="U28" t="s">
        <v>57</v>
      </c>
      <c r="V28" t="s">
        <v>311</v>
      </c>
      <c r="W28" t="s">
        <v>57</v>
      </c>
      <c r="Z28" t="s">
        <v>57</v>
      </c>
      <c r="AA28" t="s">
        <v>365</v>
      </c>
      <c r="AB28" t="s">
        <v>57</v>
      </c>
      <c r="AC28" t="s">
        <v>57</v>
      </c>
      <c r="AD28" t="s">
        <v>57</v>
      </c>
      <c r="AE28">
        <v>7</v>
      </c>
      <c r="AF28">
        <v>3</v>
      </c>
      <c r="AG28">
        <v>0</v>
      </c>
      <c r="AH28">
        <v>0</v>
      </c>
      <c r="AI28" t="s">
        <v>57</v>
      </c>
      <c r="AJ28" t="s">
        <v>57</v>
      </c>
    </row>
    <row r="29" spans="1:36" x14ac:dyDescent="0.25">
      <c r="A29">
        <v>28</v>
      </c>
      <c r="B29">
        <v>63</v>
      </c>
      <c r="C29">
        <v>8</v>
      </c>
      <c r="D29">
        <v>19</v>
      </c>
      <c r="E29" t="s">
        <v>306</v>
      </c>
      <c r="F29">
        <v>18422139</v>
      </c>
      <c r="G29">
        <v>18422139</v>
      </c>
      <c r="H29" t="s">
        <v>328</v>
      </c>
      <c r="I29">
        <v>10</v>
      </c>
      <c r="J29">
        <v>5</v>
      </c>
      <c r="K29">
        <v>5.9</v>
      </c>
      <c r="L29">
        <v>29.5</v>
      </c>
      <c r="M29" t="s">
        <v>314</v>
      </c>
      <c r="N29" t="s">
        <v>315</v>
      </c>
      <c r="O29">
        <v>2.88</v>
      </c>
      <c r="P29">
        <v>861</v>
      </c>
      <c r="Q29" t="s">
        <v>310</v>
      </c>
      <c r="R29" t="s">
        <v>57</v>
      </c>
      <c r="S29" t="s">
        <v>57</v>
      </c>
      <c r="T29" t="s">
        <v>57</v>
      </c>
      <c r="U29" t="s">
        <v>57</v>
      </c>
      <c r="V29" t="s">
        <v>311</v>
      </c>
      <c r="W29" t="s">
        <v>57</v>
      </c>
      <c r="Z29" t="s">
        <v>57</v>
      </c>
      <c r="AA29" t="s">
        <v>366</v>
      </c>
      <c r="AB29" t="s">
        <v>57</v>
      </c>
      <c r="AC29" t="s">
        <v>57</v>
      </c>
      <c r="AD29" t="s">
        <v>57</v>
      </c>
      <c r="AE29">
        <v>8</v>
      </c>
      <c r="AF29">
        <v>4</v>
      </c>
      <c r="AG29">
        <v>0</v>
      </c>
      <c r="AH29">
        <v>0</v>
      </c>
      <c r="AI29" t="s">
        <v>57</v>
      </c>
      <c r="AJ29" t="s">
        <v>57</v>
      </c>
    </row>
    <row r="30" spans="1:36" x14ac:dyDescent="0.25">
      <c r="A30">
        <v>29</v>
      </c>
      <c r="B30">
        <v>66</v>
      </c>
      <c r="C30">
        <v>5</v>
      </c>
      <c r="D30">
        <v>13</v>
      </c>
      <c r="E30" t="s">
        <v>190</v>
      </c>
      <c r="F30">
        <v>18422146</v>
      </c>
      <c r="G30">
        <v>18422146</v>
      </c>
      <c r="H30" t="s">
        <v>352</v>
      </c>
      <c r="I30">
        <v>10</v>
      </c>
      <c r="J30">
        <v>-1</v>
      </c>
      <c r="K30">
        <v>1000</v>
      </c>
      <c r="L30">
        <v>-1000</v>
      </c>
      <c r="M30" t="s">
        <v>314</v>
      </c>
      <c r="N30" t="s">
        <v>315</v>
      </c>
      <c r="O30">
        <v>-97.5</v>
      </c>
      <c r="P30">
        <v>861</v>
      </c>
      <c r="Q30" t="s">
        <v>310</v>
      </c>
      <c r="R30">
        <v>10</v>
      </c>
      <c r="S30">
        <v>861</v>
      </c>
      <c r="T30">
        <v>194</v>
      </c>
      <c r="U30" s="2">
        <v>46178.313715277778</v>
      </c>
      <c r="V30" t="s">
        <v>311</v>
      </c>
      <c r="W30" t="s">
        <v>57</v>
      </c>
      <c r="Z30" t="s">
        <v>57</v>
      </c>
      <c r="AA30" t="s">
        <v>367</v>
      </c>
      <c r="AB30" t="s">
        <v>57</v>
      </c>
      <c r="AC30" t="s">
        <v>57</v>
      </c>
      <c r="AD30" t="s">
        <v>57</v>
      </c>
      <c r="AE30">
        <v>5</v>
      </c>
      <c r="AF30">
        <v>1</v>
      </c>
      <c r="AG30">
        <v>0</v>
      </c>
      <c r="AH30">
        <v>0</v>
      </c>
      <c r="AI30" t="s">
        <v>57</v>
      </c>
      <c r="AJ30" t="s">
        <v>57</v>
      </c>
    </row>
    <row r="31" spans="1:36" x14ac:dyDescent="0.25">
      <c r="A31">
        <v>30</v>
      </c>
      <c r="B31">
        <v>66</v>
      </c>
      <c r="C31">
        <v>6</v>
      </c>
      <c r="D31">
        <v>15</v>
      </c>
      <c r="E31" t="s">
        <v>190</v>
      </c>
      <c r="F31">
        <v>18302394</v>
      </c>
      <c r="G31">
        <v>18302394</v>
      </c>
      <c r="H31" t="s">
        <v>360</v>
      </c>
      <c r="I31">
        <v>26</v>
      </c>
      <c r="J31">
        <v>-1</v>
      </c>
      <c r="K31">
        <v>16</v>
      </c>
      <c r="L31">
        <v>-16</v>
      </c>
      <c r="M31" t="s">
        <v>308</v>
      </c>
      <c r="N31" t="s">
        <v>335</v>
      </c>
      <c r="O31">
        <v>0</v>
      </c>
      <c r="P31">
        <v>861</v>
      </c>
      <c r="Q31" t="s">
        <v>316</v>
      </c>
      <c r="R31">
        <v>10</v>
      </c>
      <c r="S31">
        <v>861</v>
      </c>
      <c r="T31">
        <v>194</v>
      </c>
      <c r="U31" s="2">
        <v>46178.313715277778</v>
      </c>
      <c r="V31" t="s">
        <v>311</v>
      </c>
      <c r="W31" t="s">
        <v>57</v>
      </c>
      <c r="Z31" t="s">
        <v>57</v>
      </c>
      <c r="AA31" t="s">
        <v>368</v>
      </c>
      <c r="AB31" t="s">
        <v>57</v>
      </c>
      <c r="AC31" t="s">
        <v>57</v>
      </c>
      <c r="AD31" t="s">
        <v>57</v>
      </c>
      <c r="AE31">
        <v>6</v>
      </c>
      <c r="AF31">
        <v>2</v>
      </c>
      <c r="AG31">
        <v>0</v>
      </c>
      <c r="AH31">
        <v>0</v>
      </c>
      <c r="AI31" t="s">
        <v>57</v>
      </c>
      <c r="AJ3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6F53-7EFC-4F68-AC66-6E9BDE54528D}">
  <dimension ref="A1:H11"/>
  <sheetViews>
    <sheetView workbookViewId="0">
      <selection activeCell="E18" sqref="E18"/>
    </sheetView>
  </sheetViews>
  <sheetFormatPr baseColWidth="10" defaultRowHeight="15" x14ac:dyDescent="0.25"/>
  <sheetData>
    <row r="1" spans="1:8" x14ac:dyDescent="0.25">
      <c r="A1" t="s">
        <v>369</v>
      </c>
      <c r="B1" t="s">
        <v>0</v>
      </c>
      <c r="C1" t="s">
        <v>273</v>
      </c>
      <c r="D1" t="s">
        <v>274</v>
      </c>
      <c r="E1" t="s">
        <v>275</v>
      </c>
      <c r="F1" t="s">
        <v>370</v>
      </c>
      <c r="G1" t="s">
        <v>285</v>
      </c>
      <c r="H1" t="s">
        <v>371</v>
      </c>
    </row>
    <row r="2" spans="1:8" x14ac:dyDescent="0.25">
      <c r="A2">
        <v>1</v>
      </c>
      <c r="B2">
        <v>9</v>
      </c>
      <c r="C2">
        <v>7</v>
      </c>
      <c r="D2">
        <v>22</v>
      </c>
      <c r="E2" t="s">
        <v>372</v>
      </c>
      <c r="F2">
        <v>19.3</v>
      </c>
      <c r="G2">
        <v>1.88</v>
      </c>
      <c r="H2" s="2">
        <v>46175.5784712963</v>
      </c>
    </row>
    <row r="3" spans="1:8" x14ac:dyDescent="0.25">
      <c r="A3">
        <v>2</v>
      </c>
      <c r="B3">
        <v>13</v>
      </c>
      <c r="C3">
        <v>5</v>
      </c>
      <c r="D3">
        <v>14</v>
      </c>
      <c r="E3" t="s">
        <v>372</v>
      </c>
      <c r="F3">
        <v>89</v>
      </c>
      <c r="G3">
        <v>8.68</v>
      </c>
      <c r="H3" s="2">
        <v>46175.578471875</v>
      </c>
    </row>
    <row r="4" spans="1:8" x14ac:dyDescent="0.25">
      <c r="A4">
        <v>3</v>
      </c>
      <c r="B4">
        <v>31</v>
      </c>
      <c r="C4">
        <v>6</v>
      </c>
      <c r="D4">
        <v>23</v>
      </c>
      <c r="E4" t="s">
        <v>372</v>
      </c>
      <c r="F4">
        <v>1240</v>
      </c>
      <c r="G4">
        <v>120.9</v>
      </c>
      <c r="H4" s="2">
        <v>46175.578473530091</v>
      </c>
    </row>
    <row r="5" spans="1:8" x14ac:dyDescent="0.25">
      <c r="A5">
        <v>4</v>
      </c>
      <c r="B5">
        <v>44</v>
      </c>
      <c r="C5">
        <v>7</v>
      </c>
      <c r="D5">
        <v>27</v>
      </c>
      <c r="E5" t="s">
        <v>372</v>
      </c>
      <c r="F5">
        <v>135</v>
      </c>
      <c r="G5">
        <v>13.16</v>
      </c>
      <c r="H5" s="2">
        <v>46175.630552893519</v>
      </c>
    </row>
    <row r="6" spans="1:8" x14ac:dyDescent="0.25">
      <c r="A6">
        <v>5</v>
      </c>
      <c r="B6">
        <v>47</v>
      </c>
      <c r="C6">
        <v>7</v>
      </c>
      <c r="D6">
        <v>23</v>
      </c>
      <c r="E6" t="s">
        <v>372</v>
      </c>
      <c r="F6">
        <v>972</v>
      </c>
      <c r="G6">
        <v>94.77</v>
      </c>
      <c r="H6" s="2">
        <v>46175.645483645836</v>
      </c>
    </row>
    <row r="7" spans="1:8" x14ac:dyDescent="0.25">
      <c r="A7">
        <v>6</v>
      </c>
      <c r="B7">
        <v>54</v>
      </c>
      <c r="C7">
        <v>6</v>
      </c>
      <c r="D7">
        <v>18</v>
      </c>
      <c r="E7" t="s">
        <v>372</v>
      </c>
      <c r="F7">
        <v>135</v>
      </c>
      <c r="G7">
        <v>13.16</v>
      </c>
      <c r="H7" s="2">
        <v>46178.286808680554</v>
      </c>
    </row>
    <row r="8" spans="1:8" x14ac:dyDescent="0.25">
      <c r="A8">
        <v>7</v>
      </c>
      <c r="B8">
        <v>57</v>
      </c>
      <c r="C8">
        <v>8</v>
      </c>
      <c r="D8">
        <v>15</v>
      </c>
      <c r="E8" t="s">
        <v>372</v>
      </c>
      <c r="F8">
        <v>-135</v>
      </c>
      <c r="G8">
        <v>-13.16</v>
      </c>
      <c r="H8" s="2">
        <v>46178.298266898149</v>
      </c>
    </row>
    <row r="9" spans="1:8" x14ac:dyDescent="0.25">
      <c r="A9">
        <v>8</v>
      </c>
      <c r="B9">
        <v>60</v>
      </c>
      <c r="C9">
        <v>6</v>
      </c>
      <c r="D9">
        <v>16</v>
      </c>
      <c r="E9" t="s">
        <v>372</v>
      </c>
      <c r="F9">
        <v>18700</v>
      </c>
      <c r="G9">
        <v>1823.25</v>
      </c>
      <c r="H9" s="2">
        <v>46178.304864155092</v>
      </c>
    </row>
    <row r="10" spans="1:8" x14ac:dyDescent="0.25">
      <c r="A10">
        <v>9</v>
      </c>
      <c r="B10">
        <v>63</v>
      </c>
      <c r="C10">
        <v>9</v>
      </c>
      <c r="D10">
        <v>28</v>
      </c>
      <c r="E10" t="s">
        <v>372</v>
      </c>
      <c r="F10">
        <v>1549.5</v>
      </c>
      <c r="G10">
        <v>151.08000000000001</v>
      </c>
      <c r="H10" s="2">
        <v>46178.3180587963</v>
      </c>
    </row>
    <row r="11" spans="1:8" x14ac:dyDescent="0.25">
      <c r="A11">
        <v>10</v>
      </c>
      <c r="B11">
        <v>66</v>
      </c>
      <c r="C11">
        <v>8</v>
      </c>
      <c r="D11">
        <v>23</v>
      </c>
      <c r="E11" t="s">
        <v>372</v>
      </c>
      <c r="F11">
        <v>-1000</v>
      </c>
      <c r="G11">
        <v>-97.5</v>
      </c>
      <c r="H11" s="2">
        <v>46178.321531018519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AB1-05EE-4E87-8810-A9C52B2151B0}">
  <dimension ref="A1:P22"/>
  <sheetViews>
    <sheetView workbookViewId="0">
      <selection activeCell="F17" sqref="F17"/>
    </sheetView>
  </sheetViews>
  <sheetFormatPr baseColWidth="10" defaultRowHeight="15" x14ac:dyDescent="0.25"/>
  <sheetData>
    <row r="1" spans="1:16" x14ac:dyDescent="0.25">
      <c r="A1" t="s">
        <v>373</v>
      </c>
      <c r="B1" t="s">
        <v>0</v>
      </c>
      <c r="C1" t="s">
        <v>273</v>
      </c>
      <c r="D1" t="s">
        <v>374</v>
      </c>
      <c r="E1" t="s">
        <v>375</v>
      </c>
      <c r="F1" t="s">
        <v>376</v>
      </c>
      <c r="G1" t="s">
        <v>377</v>
      </c>
      <c r="H1" t="s">
        <v>378</v>
      </c>
      <c r="I1" t="s">
        <v>379</v>
      </c>
      <c r="J1" t="s">
        <v>298</v>
      </c>
      <c r="K1" t="s">
        <v>8</v>
      </c>
      <c r="L1" t="s">
        <v>274</v>
      </c>
      <c r="M1" t="s">
        <v>275</v>
      </c>
      <c r="N1" t="s">
        <v>380</v>
      </c>
      <c r="O1" t="s">
        <v>381</v>
      </c>
      <c r="P1" t="s">
        <v>382</v>
      </c>
    </row>
    <row r="2" spans="1:16" x14ac:dyDescent="0.25">
      <c r="A2">
        <v>1</v>
      </c>
      <c r="B2">
        <v>4</v>
      </c>
      <c r="C2">
        <v>6</v>
      </c>
      <c r="D2" t="s">
        <v>383</v>
      </c>
      <c r="E2">
        <v>8350</v>
      </c>
      <c r="F2">
        <v>1102</v>
      </c>
      <c r="G2" t="s">
        <v>384</v>
      </c>
      <c r="H2" t="s">
        <v>308</v>
      </c>
      <c r="I2">
        <v>1234</v>
      </c>
      <c r="J2" t="s">
        <v>385</v>
      </c>
      <c r="K2" s="2">
        <v>46164.37427083333</v>
      </c>
      <c r="L2">
        <v>12</v>
      </c>
      <c r="M2" t="s">
        <v>386</v>
      </c>
      <c r="N2" t="s">
        <v>387</v>
      </c>
      <c r="O2">
        <v>0</v>
      </c>
      <c r="P2">
        <v>0</v>
      </c>
    </row>
    <row r="3" spans="1:16" x14ac:dyDescent="0.25">
      <c r="A3">
        <v>2</v>
      </c>
      <c r="B3">
        <v>9</v>
      </c>
      <c r="C3">
        <v>8</v>
      </c>
      <c r="D3" t="s">
        <v>388</v>
      </c>
      <c r="E3">
        <v>21.18</v>
      </c>
      <c r="F3">
        <v>1111</v>
      </c>
      <c r="G3" t="s">
        <v>384</v>
      </c>
      <c r="H3" t="s">
        <v>308</v>
      </c>
      <c r="I3">
        <v>1144</v>
      </c>
      <c r="J3" t="s">
        <v>385</v>
      </c>
      <c r="K3" s="2">
        <v>46168.509293981479</v>
      </c>
      <c r="L3">
        <v>19</v>
      </c>
      <c r="M3" t="s">
        <v>386</v>
      </c>
      <c r="N3" t="s">
        <v>389</v>
      </c>
      <c r="O3">
        <v>0</v>
      </c>
      <c r="P3">
        <v>0</v>
      </c>
    </row>
    <row r="4" spans="1:16" x14ac:dyDescent="0.25">
      <c r="A4">
        <v>3</v>
      </c>
      <c r="B4">
        <v>12</v>
      </c>
      <c r="C4">
        <v>7</v>
      </c>
      <c r="D4" t="s">
        <v>388</v>
      </c>
      <c r="E4">
        <v>89</v>
      </c>
      <c r="F4">
        <v>1111</v>
      </c>
      <c r="G4" t="s">
        <v>384</v>
      </c>
      <c r="H4" t="s">
        <v>308</v>
      </c>
      <c r="I4">
        <v>2555</v>
      </c>
      <c r="J4" t="s">
        <v>385</v>
      </c>
      <c r="K4" s="2">
        <v>46168.512650462966</v>
      </c>
      <c r="L4">
        <v>17</v>
      </c>
      <c r="M4" t="s">
        <v>386</v>
      </c>
      <c r="N4" t="s">
        <v>390</v>
      </c>
      <c r="O4">
        <v>0</v>
      </c>
      <c r="P4">
        <v>0</v>
      </c>
    </row>
    <row r="5" spans="1:16" x14ac:dyDescent="0.25">
      <c r="A5">
        <v>4</v>
      </c>
      <c r="B5">
        <v>13</v>
      </c>
      <c r="C5">
        <v>6</v>
      </c>
      <c r="D5" t="s">
        <v>388</v>
      </c>
      <c r="E5">
        <v>97.68</v>
      </c>
      <c r="F5">
        <v>6554</v>
      </c>
      <c r="G5" t="s">
        <v>384</v>
      </c>
      <c r="H5" t="s">
        <v>308</v>
      </c>
      <c r="I5">
        <v>525</v>
      </c>
      <c r="J5" t="s">
        <v>385</v>
      </c>
      <c r="K5" s="2">
        <v>46168.513854166667</v>
      </c>
      <c r="L5">
        <v>13</v>
      </c>
      <c r="M5" t="s">
        <v>386</v>
      </c>
      <c r="N5" t="s">
        <v>391</v>
      </c>
      <c r="O5">
        <v>0</v>
      </c>
      <c r="P5">
        <v>0</v>
      </c>
    </row>
    <row r="6" spans="1:16" x14ac:dyDescent="0.25">
      <c r="A6">
        <v>5</v>
      </c>
      <c r="B6">
        <v>21</v>
      </c>
      <c r="C6">
        <v>7</v>
      </c>
      <c r="D6" t="s">
        <v>388</v>
      </c>
      <c r="E6">
        <v>293000</v>
      </c>
      <c r="F6">
        <v>1236</v>
      </c>
      <c r="G6" t="s">
        <v>384</v>
      </c>
      <c r="H6" t="s">
        <v>308</v>
      </c>
      <c r="I6">
        <v>456</v>
      </c>
      <c r="J6" t="s">
        <v>385</v>
      </c>
      <c r="K6" s="2">
        <v>46175.406608796293</v>
      </c>
      <c r="L6">
        <v>15</v>
      </c>
      <c r="M6" t="s">
        <v>386</v>
      </c>
      <c r="N6" t="s">
        <v>392</v>
      </c>
      <c r="O6">
        <v>0</v>
      </c>
      <c r="P6">
        <v>0</v>
      </c>
    </row>
    <row r="7" spans="1:16" x14ac:dyDescent="0.25">
      <c r="A7">
        <v>6</v>
      </c>
      <c r="B7">
        <v>25</v>
      </c>
      <c r="C7">
        <v>7</v>
      </c>
      <c r="D7" t="s">
        <v>388</v>
      </c>
      <c r="E7">
        <v>195000</v>
      </c>
      <c r="F7">
        <v>1114</v>
      </c>
      <c r="G7" t="s">
        <v>384</v>
      </c>
      <c r="H7" t="s">
        <v>308</v>
      </c>
      <c r="I7">
        <v>567</v>
      </c>
      <c r="J7" t="s">
        <v>385</v>
      </c>
      <c r="K7" s="2">
        <v>46175.541296296295</v>
      </c>
      <c r="L7">
        <v>18</v>
      </c>
      <c r="M7" t="s">
        <v>386</v>
      </c>
      <c r="N7" t="s">
        <v>393</v>
      </c>
      <c r="O7">
        <v>0</v>
      </c>
      <c r="P7">
        <v>0</v>
      </c>
    </row>
    <row r="8" spans="1:16" x14ac:dyDescent="0.25">
      <c r="A8">
        <v>7</v>
      </c>
      <c r="B8">
        <v>28</v>
      </c>
      <c r="C8">
        <v>7</v>
      </c>
      <c r="D8" t="s">
        <v>388</v>
      </c>
      <c r="E8">
        <v>1573.08</v>
      </c>
      <c r="F8">
        <v>8956</v>
      </c>
      <c r="G8" t="s">
        <v>384</v>
      </c>
      <c r="H8" t="s">
        <v>308</v>
      </c>
      <c r="I8">
        <v>566666</v>
      </c>
      <c r="J8" t="s">
        <v>385</v>
      </c>
      <c r="K8" s="2">
        <v>46175.554432870369</v>
      </c>
      <c r="L8">
        <v>15</v>
      </c>
      <c r="M8" t="s">
        <v>386</v>
      </c>
      <c r="N8" t="s">
        <v>394</v>
      </c>
      <c r="O8">
        <v>0</v>
      </c>
      <c r="P8">
        <v>0</v>
      </c>
    </row>
    <row r="9" spans="1:16" x14ac:dyDescent="0.25">
      <c r="A9">
        <v>8</v>
      </c>
      <c r="B9">
        <v>31</v>
      </c>
      <c r="C9">
        <v>8</v>
      </c>
      <c r="D9" t="s">
        <v>395</v>
      </c>
      <c r="E9">
        <v>1500</v>
      </c>
      <c r="G9" t="s">
        <v>384</v>
      </c>
      <c r="J9" t="s">
        <v>385</v>
      </c>
      <c r="K9" s="2">
        <v>46175.560937499999</v>
      </c>
      <c r="L9">
        <v>19</v>
      </c>
      <c r="M9" t="s">
        <v>386</v>
      </c>
      <c r="N9" t="s">
        <v>396</v>
      </c>
      <c r="O9">
        <v>0</v>
      </c>
      <c r="P9">
        <v>0</v>
      </c>
    </row>
    <row r="10" spans="1:16" x14ac:dyDescent="0.25">
      <c r="A10">
        <v>9</v>
      </c>
      <c r="B10">
        <v>31</v>
      </c>
      <c r="C10">
        <v>9</v>
      </c>
      <c r="D10" t="s">
        <v>395</v>
      </c>
      <c r="E10">
        <v>43.1</v>
      </c>
      <c r="G10" t="s">
        <v>384</v>
      </c>
      <c r="J10" t="s">
        <v>397</v>
      </c>
      <c r="K10" s="2">
        <v>46175.560937499999</v>
      </c>
      <c r="L10">
        <v>22</v>
      </c>
      <c r="M10" t="s">
        <v>398</v>
      </c>
      <c r="N10" t="s">
        <v>399</v>
      </c>
      <c r="O10">
        <v>1</v>
      </c>
      <c r="P10">
        <v>43.1</v>
      </c>
    </row>
    <row r="11" spans="1:16" x14ac:dyDescent="0.25">
      <c r="A11">
        <v>10</v>
      </c>
      <c r="B11">
        <v>34</v>
      </c>
      <c r="C11">
        <v>6</v>
      </c>
      <c r="D11" t="s">
        <v>395</v>
      </c>
      <c r="E11">
        <v>89</v>
      </c>
      <c r="G11" t="s">
        <v>384</v>
      </c>
      <c r="J11" t="s">
        <v>385</v>
      </c>
      <c r="K11" s="2">
        <v>46163.009062500001</v>
      </c>
      <c r="L11">
        <v>12</v>
      </c>
      <c r="M11" t="s">
        <v>386</v>
      </c>
      <c r="N11" t="s">
        <v>400</v>
      </c>
      <c r="O11">
        <v>0</v>
      </c>
      <c r="P11">
        <v>0</v>
      </c>
    </row>
    <row r="12" spans="1:16" x14ac:dyDescent="0.25">
      <c r="A12">
        <v>11</v>
      </c>
      <c r="B12">
        <v>41</v>
      </c>
      <c r="C12">
        <v>8</v>
      </c>
      <c r="D12" t="s">
        <v>388</v>
      </c>
      <c r="E12">
        <v>98000</v>
      </c>
      <c r="F12">
        <v>4444</v>
      </c>
      <c r="G12" t="s">
        <v>384</v>
      </c>
      <c r="H12" t="s">
        <v>308</v>
      </c>
      <c r="I12">
        <v>4444</v>
      </c>
      <c r="J12" t="s">
        <v>385</v>
      </c>
      <c r="K12" s="2">
        <v>46175.620763888888</v>
      </c>
      <c r="L12">
        <v>11</v>
      </c>
      <c r="M12" t="s">
        <v>386</v>
      </c>
      <c r="N12" t="s">
        <v>401</v>
      </c>
      <c r="O12">
        <v>0</v>
      </c>
      <c r="P12">
        <v>0</v>
      </c>
    </row>
    <row r="13" spans="1:16" x14ac:dyDescent="0.25">
      <c r="A13">
        <v>12</v>
      </c>
      <c r="B13">
        <v>44</v>
      </c>
      <c r="C13">
        <v>8</v>
      </c>
      <c r="D13" t="s">
        <v>395</v>
      </c>
      <c r="E13">
        <v>150</v>
      </c>
      <c r="G13" t="s">
        <v>384</v>
      </c>
      <c r="J13" t="s">
        <v>385</v>
      </c>
      <c r="K13" s="2">
        <v>46175.630624999998</v>
      </c>
      <c r="L13">
        <v>20</v>
      </c>
      <c r="M13" t="s">
        <v>386</v>
      </c>
      <c r="N13" t="s">
        <v>402</v>
      </c>
      <c r="O13">
        <v>0</v>
      </c>
      <c r="P13">
        <v>0</v>
      </c>
    </row>
    <row r="14" spans="1:16" x14ac:dyDescent="0.25">
      <c r="A14">
        <v>13</v>
      </c>
      <c r="B14">
        <v>44</v>
      </c>
      <c r="C14">
        <v>9</v>
      </c>
      <c r="D14" t="s">
        <v>395</v>
      </c>
      <c r="E14">
        <v>1.84</v>
      </c>
      <c r="G14" t="s">
        <v>384</v>
      </c>
      <c r="J14" t="s">
        <v>397</v>
      </c>
      <c r="K14" s="2">
        <v>46175.630624999998</v>
      </c>
      <c r="L14">
        <v>24</v>
      </c>
      <c r="M14" t="s">
        <v>398</v>
      </c>
      <c r="N14" t="s">
        <v>403</v>
      </c>
      <c r="O14">
        <v>1</v>
      </c>
      <c r="P14">
        <v>1.84</v>
      </c>
    </row>
    <row r="15" spans="1:16" x14ac:dyDescent="0.25">
      <c r="A15">
        <v>14</v>
      </c>
      <c r="B15">
        <v>47</v>
      </c>
      <c r="C15">
        <v>8</v>
      </c>
      <c r="D15" t="s">
        <v>395</v>
      </c>
      <c r="E15">
        <v>1067.8</v>
      </c>
      <c r="G15" t="s">
        <v>384</v>
      </c>
      <c r="J15" t="s">
        <v>385</v>
      </c>
      <c r="K15" s="2">
        <v>46175.645520833335</v>
      </c>
      <c r="L15">
        <v>20</v>
      </c>
      <c r="M15" t="s">
        <v>386</v>
      </c>
      <c r="N15" t="s">
        <v>404</v>
      </c>
      <c r="O15">
        <v>0</v>
      </c>
      <c r="P15">
        <v>0</v>
      </c>
    </row>
    <row r="16" spans="1:16" x14ac:dyDescent="0.25">
      <c r="A16">
        <v>15</v>
      </c>
      <c r="B16">
        <v>47</v>
      </c>
      <c r="C16">
        <v>9</v>
      </c>
      <c r="D16" t="s">
        <v>395</v>
      </c>
      <c r="E16">
        <v>1.03</v>
      </c>
      <c r="G16" t="s">
        <v>384</v>
      </c>
      <c r="J16" t="s">
        <v>397</v>
      </c>
      <c r="K16" s="2">
        <v>46175.645520833335</v>
      </c>
      <c r="L16">
        <v>22</v>
      </c>
      <c r="M16" t="s">
        <v>398</v>
      </c>
      <c r="N16" t="s">
        <v>405</v>
      </c>
      <c r="O16">
        <v>1</v>
      </c>
      <c r="P16">
        <v>1.03</v>
      </c>
    </row>
    <row r="17" spans="1:16" x14ac:dyDescent="0.25">
      <c r="A17">
        <v>16</v>
      </c>
      <c r="B17">
        <v>54</v>
      </c>
      <c r="C17">
        <v>8</v>
      </c>
      <c r="D17" t="s">
        <v>406</v>
      </c>
      <c r="E17">
        <v>164.16</v>
      </c>
      <c r="F17">
        <v>4789</v>
      </c>
      <c r="G17" t="s">
        <v>384</v>
      </c>
      <c r="H17" t="s">
        <v>308</v>
      </c>
      <c r="I17">
        <v>1234</v>
      </c>
      <c r="J17" t="s">
        <v>385</v>
      </c>
      <c r="K17" s="2">
        <v>46178.28696759259</v>
      </c>
      <c r="L17">
        <v>17</v>
      </c>
      <c r="M17" t="s">
        <v>386</v>
      </c>
      <c r="N17" t="s">
        <v>407</v>
      </c>
      <c r="O17">
        <v>0</v>
      </c>
      <c r="P17">
        <v>0</v>
      </c>
    </row>
    <row r="18" spans="1:16" x14ac:dyDescent="0.25">
      <c r="A18">
        <v>17</v>
      </c>
      <c r="B18">
        <v>57</v>
      </c>
      <c r="C18">
        <v>10</v>
      </c>
      <c r="D18" t="s">
        <v>408</v>
      </c>
      <c r="E18">
        <v>164.16</v>
      </c>
      <c r="F18">
        <v>7899</v>
      </c>
      <c r="G18" t="s">
        <v>384</v>
      </c>
      <c r="H18" t="s">
        <v>308</v>
      </c>
      <c r="I18">
        <v>4777</v>
      </c>
      <c r="J18" t="s">
        <v>385</v>
      </c>
      <c r="K18" s="2">
        <v>46178.298530092594</v>
      </c>
      <c r="L18">
        <v>14</v>
      </c>
      <c r="M18" t="s">
        <v>386</v>
      </c>
      <c r="N18" t="s">
        <v>409</v>
      </c>
      <c r="O18">
        <v>0</v>
      </c>
      <c r="P18">
        <v>0</v>
      </c>
    </row>
    <row r="19" spans="1:16" x14ac:dyDescent="0.25">
      <c r="A19">
        <v>18</v>
      </c>
      <c r="B19">
        <v>60</v>
      </c>
      <c r="C19">
        <v>7</v>
      </c>
      <c r="D19" t="s">
        <v>388</v>
      </c>
      <c r="E19">
        <v>20523.25</v>
      </c>
      <c r="F19">
        <v>2552</v>
      </c>
      <c r="G19" t="s">
        <v>384</v>
      </c>
      <c r="H19" t="s">
        <v>308</v>
      </c>
      <c r="I19">
        <v>7888</v>
      </c>
      <c r="J19" t="s">
        <v>385</v>
      </c>
      <c r="K19" s="2">
        <v>46178.304976851854</v>
      </c>
      <c r="L19">
        <v>15</v>
      </c>
      <c r="M19" t="s">
        <v>386</v>
      </c>
      <c r="N19" t="s">
        <v>410</v>
      </c>
      <c r="O19">
        <v>0</v>
      </c>
      <c r="P19">
        <v>0</v>
      </c>
    </row>
    <row r="20" spans="1:16" x14ac:dyDescent="0.25">
      <c r="A20">
        <v>19</v>
      </c>
      <c r="B20">
        <v>62</v>
      </c>
      <c r="C20">
        <v>6</v>
      </c>
      <c r="D20" t="s">
        <v>411</v>
      </c>
      <c r="E20">
        <v>16</v>
      </c>
      <c r="F20">
        <v>5896</v>
      </c>
      <c r="G20" t="s">
        <v>384</v>
      </c>
      <c r="H20" t="s">
        <v>308</v>
      </c>
      <c r="I20">
        <v>14569</v>
      </c>
      <c r="J20" t="s">
        <v>385</v>
      </c>
      <c r="K20" s="2">
        <v>46178.30978009259</v>
      </c>
      <c r="L20">
        <v>12</v>
      </c>
      <c r="M20" t="s">
        <v>386</v>
      </c>
      <c r="N20" t="s">
        <v>412</v>
      </c>
      <c r="O20">
        <v>0</v>
      </c>
      <c r="P20">
        <v>0</v>
      </c>
    </row>
    <row r="21" spans="1:16" x14ac:dyDescent="0.25">
      <c r="A21">
        <v>20</v>
      </c>
      <c r="B21">
        <v>63</v>
      </c>
      <c r="C21">
        <v>11</v>
      </c>
      <c r="D21" t="s">
        <v>413</v>
      </c>
      <c r="E21">
        <v>1716.58</v>
      </c>
      <c r="F21">
        <v>5555</v>
      </c>
      <c r="G21" t="s">
        <v>384</v>
      </c>
      <c r="H21" t="s">
        <v>308</v>
      </c>
      <c r="I21">
        <v>1234</v>
      </c>
      <c r="J21" t="s">
        <v>385</v>
      </c>
      <c r="K21" s="2">
        <v>46178.318055555559</v>
      </c>
      <c r="L21">
        <v>27</v>
      </c>
      <c r="M21" t="s">
        <v>386</v>
      </c>
      <c r="N21" t="s">
        <v>414</v>
      </c>
      <c r="O21">
        <v>0</v>
      </c>
      <c r="P21">
        <v>0</v>
      </c>
    </row>
    <row r="22" spans="1:16" x14ac:dyDescent="0.25">
      <c r="A22">
        <v>21</v>
      </c>
      <c r="B22">
        <v>66</v>
      </c>
      <c r="C22">
        <v>10</v>
      </c>
      <c r="D22" t="s">
        <v>415</v>
      </c>
      <c r="E22">
        <v>1113.5</v>
      </c>
      <c r="F22">
        <v>8989</v>
      </c>
      <c r="G22" t="s">
        <v>384</v>
      </c>
      <c r="H22" t="s">
        <v>308</v>
      </c>
      <c r="I22">
        <v>3456</v>
      </c>
      <c r="J22" t="s">
        <v>385</v>
      </c>
      <c r="K22" s="2">
        <v>46178.321585648147</v>
      </c>
      <c r="L22">
        <v>22</v>
      </c>
      <c r="M22" t="s">
        <v>386</v>
      </c>
      <c r="N22" t="s">
        <v>416</v>
      </c>
      <c r="O22">
        <v>0</v>
      </c>
      <c r="P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E100-A50D-44E8-8DF9-EDB6C0C4B5D0}">
  <dimension ref="A1:S12"/>
  <sheetViews>
    <sheetView topLeftCell="D1" workbookViewId="0">
      <selection activeCell="S2" sqref="S2"/>
    </sheetView>
  </sheetViews>
  <sheetFormatPr baseColWidth="10" defaultRowHeight="15" x14ac:dyDescent="0.25"/>
  <sheetData>
    <row r="1" spans="1:19" ht="90" x14ac:dyDescent="0.25">
      <c r="B1" s="4" t="s">
        <v>860</v>
      </c>
      <c r="C1" t="s">
        <v>863</v>
      </c>
      <c r="D1" t="s">
        <v>301</v>
      </c>
      <c r="E1">
        <v>0</v>
      </c>
      <c r="F1" t="s">
        <v>861</v>
      </c>
      <c r="G1" t="s">
        <v>43</v>
      </c>
      <c r="H1" t="s">
        <v>6</v>
      </c>
      <c r="I1" t="s">
        <v>276</v>
      </c>
      <c r="J1" t="s">
        <v>466</v>
      </c>
      <c r="K1" t="s">
        <v>468</v>
      </c>
      <c r="L1" t="s">
        <v>469</v>
      </c>
      <c r="M1" t="s">
        <v>473</v>
      </c>
      <c r="N1" t="s">
        <v>477</v>
      </c>
      <c r="O1" t="s">
        <v>862</v>
      </c>
      <c r="P1" t="s">
        <v>25</v>
      </c>
      <c r="Q1" t="s">
        <v>462</v>
      </c>
      <c r="R1" t="s">
        <v>864</v>
      </c>
      <c r="S1" t="s">
        <v>865</v>
      </c>
    </row>
    <row r="2" spans="1:19" x14ac:dyDescent="0.25">
      <c r="A2" t="s">
        <v>417</v>
      </c>
      <c r="B2" t="s">
        <v>418</v>
      </c>
      <c r="C2" t="s">
        <v>419</v>
      </c>
      <c r="D2" t="s">
        <v>420</v>
      </c>
      <c r="E2" t="s">
        <v>421</v>
      </c>
      <c r="F2" t="s">
        <v>422</v>
      </c>
      <c r="G2" t="s">
        <v>423</v>
      </c>
      <c r="H2" t="s">
        <v>424</v>
      </c>
      <c r="I2" t="s">
        <v>425</v>
      </c>
      <c r="J2" t="s">
        <v>426</v>
      </c>
      <c r="K2" t="s">
        <v>427</v>
      </c>
      <c r="L2" t="s">
        <v>428</v>
      </c>
      <c r="M2" t="s">
        <v>429</v>
      </c>
      <c r="N2" t="s">
        <v>430</v>
      </c>
      <c r="O2" t="s">
        <v>431</v>
      </c>
      <c r="P2" t="s">
        <v>432</v>
      </c>
      <c r="Q2" t="s">
        <v>433</v>
      </c>
      <c r="R2" t="s">
        <v>434</v>
      </c>
      <c r="S2" t="s">
        <v>435</v>
      </c>
    </row>
    <row r="3" spans="1:19" x14ac:dyDescent="0.25">
      <c r="A3">
        <v>284689</v>
      </c>
      <c r="B3" t="s">
        <v>436</v>
      </c>
      <c r="C3">
        <v>1461034</v>
      </c>
      <c r="D3">
        <v>6</v>
      </c>
      <c r="E3">
        <v>0</v>
      </c>
      <c r="F3">
        <v>0</v>
      </c>
      <c r="G3">
        <v>26</v>
      </c>
      <c r="H3" s="2">
        <v>44905</v>
      </c>
      <c r="I3" t="s">
        <v>437</v>
      </c>
      <c r="J3" t="s">
        <v>438</v>
      </c>
      <c r="K3">
        <v>1</v>
      </c>
      <c r="L3">
        <v>135</v>
      </c>
      <c r="M3">
        <v>135</v>
      </c>
      <c r="N3">
        <v>135</v>
      </c>
      <c r="O3">
        <v>999999999</v>
      </c>
      <c r="P3">
        <v>26</v>
      </c>
      <c r="Q3">
        <v>1461034</v>
      </c>
      <c r="R3">
        <v>-1</v>
      </c>
      <c r="S3">
        <v>0</v>
      </c>
    </row>
    <row r="4" spans="1:19" x14ac:dyDescent="0.25">
      <c r="A4">
        <v>284690</v>
      </c>
      <c r="B4" t="s">
        <v>436</v>
      </c>
      <c r="C4">
        <v>1461034</v>
      </c>
      <c r="D4">
        <v>8</v>
      </c>
      <c r="E4">
        <v>0</v>
      </c>
      <c r="F4">
        <v>0</v>
      </c>
      <c r="G4">
        <v>26</v>
      </c>
      <c r="H4" s="2">
        <v>44905</v>
      </c>
      <c r="I4" t="s">
        <v>439</v>
      </c>
      <c r="J4" t="s">
        <v>440</v>
      </c>
      <c r="K4">
        <v>1</v>
      </c>
      <c r="L4">
        <v>62</v>
      </c>
      <c r="M4">
        <v>62</v>
      </c>
      <c r="N4">
        <v>62</v>
      </c>
      <c r="O4">
        <v>999999999</v>
      </c>
      <c r="P4">
        <v>26</v>
      </c>
      <c r="Q4">
        <v>1461034</v>
      </c>
      <c r="R4">
        <v>-1</v>
      </c>
      <c r="S4">
        <v>0</v>
      </c>
    </row>
    <row r="5" spans="1:19" x14ac:dyDescent="0.25">
      <c r="A5">
        <v>284691</v>
      </c>
      <c r="B5" t="s">
        <v>436</v>
      </c>
      <c r="C5">
        <v>1461034</v>
      </c>
      <c r="D5">
        <v>19</v>
      </c>
      <c r="E5">
        <v>0</v>
      </c>
      <c r="F5">
        <v>0</v>
      </c>
      <c r="G5">
        <v>26</v>
      </c>
      <c r="H5" s="2">
        <v>44905</v>
      </c>
      <c r="I5" t="s">
        <v>441</v>
      </c>
      <c r="J5" t="s">
        <v>442</v>
      </c>
      <c r="K5">
        <v>1</v>
      </c>
      <c r="L5">
        <v>77</v>
      </c>
      <c r="M5">
        <v>47.86</v>
      </c>
      <c r="N5">
        <v>77</v>
      </c>
      <c r="O5">
        <v>999999999</v>
      </c>
      <c r="P5">
        <v>26</v>
      </c>
      <c r="Q5">
        <v>1461034</v>
      </c>
      <c r="R5">
        <v>-1</v>
      </c>
      <c r="S5">
        <v>0</v>
      </c>
    </row>
    <row r="6" spans="1:19" x14ac:dyDescent="0.25">
      <c r="A6">
        <v>284692</v>
      </c>
      <c r="B6" t="s">
        <v>436</v>
      </c>
      <c r="C6">
        <v>1461034</v>
      </c>
      <c r="D6">
        <v>16</v>
      </c>
      <c r="E6">
        <v>0</v>
      </c>
      <c r="F6">
        <v>0</v>
      </c>
      <c r="G6">
        <v>26</v>
      </c>
      <c r="H6" s="2">
        <v>44905</v>
      </c>
      <c r="I6" t="s">
        <v>443</v>
      </c>
      <c r="J6" t="s">
        <v>444</v>
      </c>
      <c r="K6">
        <v>1</v>
      </c>
      <c r="L6">
        <v>58</v>
      </c>
      <c r="M6">
        <v>36.049999999999997</v>
      </c>
      <c r="N6">
        <v>58</v>
      </c>
      <c r="O6">
        <v>999999999</v>
      </c>
      <c r="P6">
        <v>26</v>
      </c>
      <c r="Q6">
        <v>1461034</v>
      </c>
      <c r="R6">
        <v>-1</v>
      </c>
      <c r="S6">
        <v>0</v>
      </c>
    </row>
    <row r="7" spans="1:19" x14ac:dyDescent="0.25">
      <c r="A7">
        <v>284693</v>
      </c>
      <c r="B7" t="s">
        <v>436</v>
      </c>
      <c r="C7">
        <v>1461034</v>
      </c>
      <c r="D7">
        <v>10</v>
      </c>
      <c r="E7">
        <v>0</v>
      </c>
      <c r="F7">
        <v>0</v>
      </c>
      <c r="G7">
        <v>26</v>
      </c>
      <c r="H7" s="2">
        <v>44905</v>
      </c>
      <c r="I7" t="s">
        <v>445</v>
      </c>
      <c r="J7" t="s">
        <v>446</v>
      </c>
      <c r="K7">
        <v>1</v>
      </c>
      <c r="L7">
        <v>58</v>
      </c>
      <c r="M7">
        <v>36.049999999999997</v>
      </c>
      <c r="N7">
        <v>58</v>
      </c>
      <c r="O7">
        <v>999999999</v>
      </c>
      <c r="P7">
        <v>26</v>
      </c>
      <c r="Q7">
        <v>1461034</v>
      </c>
      <c r="R7">
        <v>-1</v>
      </c>
      <c r="S7">
        <v>0</v>
      </c>
    </row>
    <row r="8" spans="1:19" x14ac:dyDescent="0.25">
      <c r="A8">
        <v>284694</v>
      </c>
      <c r="B8" t="s">
        <v>436</v>
      </c>
      <c r="C8">
        <v>1461034</v>
      </c>
      <c r="D8">
        <v>13</v>
      </c>
      <c r="E8">
        <v>0</v>
      </c>
      <c r="F8">
        <v>0</v>
      </c>
      <c r="G8">
        <v>26</v>
      </c>
      <c r="H8" s="2">
        <v>44905</v>
      </c>
      <c r="I8" t="s">
        <v>447</v>
      </c>
      <c r="J8" t="s">
        <v>448</v>
      </c>
      <c r="K8">
        <v>1</v>
      </c>
      <c r="L8">
        <v>58</v>
      </c>
      <c r="M8">
        <v>36.04</v>
      </c>
      <c r="N8">
        <v>58</v>
      </c>
      <c r="O8">
        <v>999999999</v>
      </c>
      <c r="P8">
        <v>26</v>
      </c>
      <c r="Q8">
        <v>1461034</v>
      </c>
      <c r="R8">
        <v>-1</v>
      </c>
      <c r="S8">
        <v>0</v>
      </c>
    </row>
    <row r="9" spans="1:19" x14ac:dyDescent="0.25">
      <c r="A9">
        <v>284695</v>
      </c>
      <c r="B9" t="s">
        <v>436</v>
      </c>
      <c r="C9">
        <v>1461038</v>
      </c>
      <c r="D9">
        <v>6</v>
      </c>
      <c r="E9">
        <v>0</v>
      </c>
      <c r="F9">
        <v>0</v>
      </c>
      <c r="G9">
        <v>26</v>
      </c>
      <c r="H9" s="2">
        <v>44905</v>
      </c>
      <c r="I9" t="s">
        <v>449</v>
      </c>
      <c r="J9" t="s">
        <v>450</v>
      </c>
      <c r="K9">
        <v>1</v>
      </c>
      <c r="L9">
        <v>85</v>
      </c>
      <c r="M9">
        <v>85</v>
      </c>
      <c r="N9">
        <v>85</v>
      </c>
      <c r="O9">
        <v>999999999</v>
      </c>
      <c r="P9">
        <v>26</v>
      </c>
      <c r="Q9">
        <v>1461038</v>
      </c>
      <c r="R9">
        <v>-1</v>
      </c>
      <c r="S9">
        <v>0</v>
      </c>
    </row>
    <row r="10" spans="1:19" x14ac:dyDescent="0.25">
      <c r="A10">
        <v>284696</v>
      </c>
      <c r="B10" t="s">
        <v>436</v>
      </c>
      <c r="C10">
        <v>1461036</v>
      </c>
      <c r="D10">
        <v>9</v>
      </c>
      <c r="E10">
        <v>0</v>
      </c>
      <c r="F10">
        <v>0</v>
      </c>
      <c r="G10">
        <v>26</v>
      </c>
      <c r="H10" s="2">
        <v>44905</v>
      </c>
      <c r="I10" t="s">
        <v>451</v>
      </c>
      <c r="J10" t="s">
        <v>452</v>
      </c>
      <c r="K10">
        <v>1</v>
      </c>
      <c r="L10">
        <v>14</v>
      </c>
      <c r="M10">
        <v>8.33</v>
      </c>
      <c r="N10">
        <v>14</v>
      </c>
      <c r="O10">
        <v>999999999</v>
      </c>
      <c r="P10">
        <v>26</v>
      </c>
      <c r="Q10">
        <v>1461036</v>
      </c>
      <c r="R10">
        <v>-1</v>
      </c>
      <c r="S10">
        <v>0</v>
      </c>
    </row>
    <row r="11" spans="1:19" x14ac:dyDescent="0.25">
      <c r="A11">
        <v>284697</v>
      </c>
      <c r="B11" t="s">
        <v>436</v>
      </c>
      <c r="C11">
        <v>1461036</v>
      </c>
      <c r="D11">
        <v>12</v>
      </c>
      <c r="E11">
        <v>0</v>
      </c>
      <c r="F11">
        <v>0</v>
      </c>
      <c r="G11">
        <v>26</v>
      </c>
      <c r="H11" s="2">
        <v>44905</v>
      </c>
      <c r="I11" t="s">
        <v>451</v>
      </c>
      <c r="J11" t="s">
        <v>452</v>
      </c>
      <c r="K11">
        <v>1</v>
      </c>
      <c r="L11">
        <v>14</v>
      </c>
      <c r="M11">
        <v>8.34</v>
      </c>
      <c r="N11">
        <v>14</v>
      </c>
      <c r="O11">
        <v>999999999</v>
      </c>
      <c r="P11">
        <v>26</v>
      </c>
      <c r="Q11">
        <v>1461036</v>
      </c>
      <c r="R11">
        <v>-1</v>
      </c>
      <c r="S11">
        <v>0</v>
      </c>
    </row>
    <row r="12" spans="1:19" x14ac:dyDescent="0.25">
      <c r="A12">
        <v>284698</v>
      </c>
      <c r="B12" t="s">
        <v>436</v>
      </c>
      <c r="C12">
        <v>1461036</v>
      </c>
      <c r="D12">
        <v>6</v>
      </c>
      <c r="E12">
        <v>0</v>
      </c>
      <c r="F12">
        <v>0</v>
      </c>
      <c r="G12">
        <v>26</v>
      </c>
      <c r="H12" s="2">
        <v>44905</v>
      </c>
      <c r="I12" t="s">
        <v>453</v>
      </c>
      <c r="J12" t="s">
        <v>454</v>
      </c>
      <c r="K12">
        <v>1</v>
      </c>
      <c r="L12">
        <v>14</v>
      </c>
      <c r="M12">
        <v>8.33</v>
      </c>
      <c r="N12">
        <v>14</v>
      </c>
      <c r="O12">
        <v>999999999</v>
      </c>
      <c r="P12">
        <v>26</v>
      </c>
      <c r="Q12">
        <v>1461036</v>
      </c>
      <c r="R12">
        <v>-1</v>
      </c>
      <c r="S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0D97-AB7E-4980-8AAC-AA650ECD44AF}">
  <dimension ref="A1:CM31"/>
  <sheetViews>
    <sheetView workbookViewId="0">
      <selection activeCell="Q1" sqref="Q1"/>
    </sheetView>
  </sheetViews>
  <sheetFormatPr baseColWidth="10" defaultRowHeight="15" x14ac:dyDescent="0.25"/>
  <cols>
    <col min="1" max="1" width="11.42578125" style="3"/>
    <col min="2" max="2" width="31.5703125" style="3" bestFit="1" customWidth="1"/>
    <col min="3" max="3" width="11.42578125" style="3"/>
    <col min="4" max="4" width="17.7109375" style="3" customWidth="1"/>
    <col min="5" max="16384" width="11.42578125" style="3"/>
  </cols>
  <sheetData>
    <row r="1" spans="1:91" x14ac:dyDescent="0.25">
      <c r="A1" s="3" t="s">
        <v>0</v>
      </c>
      <c r="B1" s="3" t="s">
        <v>26</v>
      </c>
      <c r="C1" s="3" t="s">
        <v>455</v>
      </c>
      <c r="D1" s="3" t="s">
        <v>6</v>
      </c>
      <c r="E1" s="3" t="s">
        <v>456</v>
      </c>
      <c r="F1" s="3" t="s">
        <v>457</v>
      </c>
      <c r="G1" s="3" t="s">
        <v>458</v>
      </c>
      <c r="H1" s="3" t="s">
        <v>7</v>
      </c>
      <c r="I1" s="3" t="s">
        <v>8</v>
      </c>
      <c r="J1" s="3" t="s">
        <v>459</v>
      </c>
      <c r="K1" s="3" t="s">
        <v>33</v>
      </c>
      <c r="L1" s="3" t="s">
        <v>15</v>
      </c>
      <c r="M1" s="3" t="s">
        <v>3</v>
      </c>
      <c r="N1" s="3" t="s">
        <v>4</v>
      </c>
      <c r="O1" s="3" t="s">
        <v>11</v>
      </c>
      <c r="P1" s="3" t="s">
        <v>43</v>
      </c>
      <c r="Q1" s="3" t="s">
        <v>25</v>
      </c>
      <c r="R1" s="3" t="s">
        <v>13</v>
      </c>
      <c r="S1" s="3" t="s">
        <v>14</v>
      </c>
      <c r="T1" s="3" t="s">
        <v>12</v>
      </c>
      <c r="U1" s="3" t="s">
        <v>19</v>
      </c>
      <c r="V1" s="3" t="s">
        <v>31</v>
      </c>
      <c r="W1" s="3" t="s">
        <v>460</v>
      </c>
      <c r="X1" s="3" t="s">
        <v>461</v>
      </c>
      <c r="Y1" s="3" t="s">
        <v>28</v>
      </c>
      <c r="Z1" s="3" t="s">
        <v>10</v>
      </c>
      <c r="AA1" s="3" t="s">
        <v>9</v>
      </c>
      <c r="AB1" s="3" t="s">
        <v>18</v>
      </c>
      <c r="AC1" s="3" t="s">
        <v>20</v>
      </c>
      <c r="AD1" s="3" t="s">
        <v>21</v>
      </c>
      <c r="AE1" s="3" t="s">
        <v>462</v>
      </c>
      <c r="AF1" s="3" t="s">
        <v>463</v>
      </c>
      <c r="AG1" s="3" t="s">
        <v>23</v>
      </c>
      <c r="AH1" s="3" t="s">
        <v>24</v>
      </c>
      <c r="AI1" s="3" t="s">
        <v>272</v>
      </c>
      <c r="AJ1" s="3" t="s">
        <v>273</v>
      </c>
      <c r="AK1" s="3" t="s">
        <v>300</v>
      </c>
      <c r="AL1" s="3" t="s">
        <v>301</v>
      </c>
      <c r="AM1" s="3" t="s">
        <v>274</v>
      </c>
      <c r="AN1" s="3" t="s">
        <v>464</v>
      </c>
      <c r="AO1" s="3" t="s">
        <v>292</v>
      </c>
      <c r="AP1" s="3" t="s">
        <v>276</v>
      </c>
      <c r="AQ1" s="3" t="s">
        <v>465</v>
      </c>
      <c r="AR1" s="3" t="s">
        <v>466</v>
      </c>
      <c r="AS1" s="3" t="s">
        <v>467</v>
      </c>
      <c r="AT1" s="3" t="s">
        <v>286</v>
      </c>
      <c r="AU1" s="3" t="s">
        <v>287</v>
      </c>
      <c r="AV1" s="3" t="s">
        <v>468</v>
      </c>
      <c r="AW1" s="3" t="s">
        <v>469</v>
      </c>
      <c r="AX1" s="3" t="s">
        <v>470</v>
      </c>
      <c r="AY1" s="3" t="s">
        <v>471</v>
      </c>
      <c r="AZ1" s="3" t="s">
        <v>472</v>
      </c>
      <c r="BA1" s="3" t="s">
        <v>295</v>
      </c>
      <c r="BB1" s="3" t="s">
        <v>473</v>
      </c>
      <c r="BC1" s="3" t="s">
        <v>474</v>
      </c>
      <c r="BD1" s="3" t="s">
        <v>475</v>
      </c>
      <c r="BE1" s="3" t="s">
        <v>476</v>
      </c>
      <c r="BF1" s="3" t="s">
        <v>477</v>
      </c>
      <c r="BG1" s="3" t="s">
        <v>478</v>
      </c>
      <c r="BH1" s="3" t="s">
        <v>479</v>
      </c>
      <c r="BI1" s="3" t="s">
        <v>480</v>
      </c>
      <c r="BJ1" s="3" t="s">
        <v>481</v>
      </c>
      <c r="BK1" s="3" t="s">
        <v>482</v>
      </c>
      <c r="BL1" s="3" t="s">
        <v>483</v>
      </c>
      <c r="BM1" s="3" t="s">
        <v>484</v>
      </c>
      <c r="BN1" s="3" t="s">
        <v>485</v>
      </c>
      <c r="BO1" s="3" t="s">
        <v>486</v>
      </c>
      <c r="BP1" s="3" t="s">
        <v>487</v>
      </c>
      <c r="BQ1" s="3" t="s">
        <v>488</v>
      </c>
      <c r="BR1" s="3" t="s">
        <v>489</v>
      </c>
      <c r="BS1" s="3" t="s">
        <v>490</v>
      </c>
      <c r="BT1" s="3" t="s">
        <v>491</v>
      </c>
      <c r="BU1" s="3" t="s">
        <v>492</v>
      </c>
      <c r="BV1" s="3" t="s">
        <v>493</v>
      </c>
      <c r="BW1" s="3" t="s">
        <v>494</v>
      </c>
      <c r="BX1" s="3" t="s">
        <v>495</v>
      </c>
      <c r="BY1" s="3" t="s">
        <v>496</v>
      </c>
      <c r="BZ1" s="3" t="s">
        <v>497</v>
      </c>
      <c r="CA1" s="3" t="s">
        <v>498</v>
      </c>
      <c r="CB1" s="3" t="s">
        <v>499</v>
      </c>
      <c r="CC1" s="3" t="s">
        <v>500</v>
      </c>
      <c r="CD1" s="3" t="s">
        <v>501</v>
      </c>
      <c r="CE1" s="3" t="s">
        <v>502</v>
      </c>
      <c r="CF1" s="3" t="s">
        <v>503</v>
      </c>
      <c r="CG1" s="3" t="s">
        <v>504</v>
      </c>
      <c r="CH1" s="3" t="s">
        <v>505</v>
      </c>
      <c r="CI1" s="3" t="s">
        <v>506</v>
      </c>
      <c r="CJ1" s="3" t="s">
        <v>507</v>
      </c>
      <c r="CK1" s="3" t="s">
        <v>508</v>
      </c>
      <c r="CL1" s="3" t="s">
        <v>509</v>
      </c>
      <c r="CM1" s="3" t="s">
        <v>510</v>
      </c>
    </row>
    <row r="2" spans="1:91" x14ac:dyDescent="0.25">
      <c r="A2" s="3" t="s">
        <v>560</v>
      </c>
      <c r="B2" s="3" t="s">
        <v>561</v>
      </c>
      <c r="C2" s="3" t="s">
        <v>227</v>
      </c>
      <c r="D2" s="3" t="s">
        <v>562</v>
      </c>
      <c r="E2" s="3" t="s">
        <v>563</v>
      </c>
      <c r="F2" s="3" t="s">
        <v>564</v>
      </c>
      <c r="G2" s="3" t="s">
        <v>565</v>
      </c>
      <c r="H2" s="3" t="s">
        <v>566</v>
      </c>
      <c r="I2" s="3" t="s">
        <v>567</v>
      </c>
      <c r="J2" s="3" t="s">
        <v>568</v>
      </c>
      <c r="K2" s="3" t="s">
        <v>566</v>
      </c>
      <c r="L2" s="3" t="s">
        <v>569</v>
      </c>
      <c r="M2" s="3" t="s">
        <v>46</v>
      </c>
      <c r="N2" s="3" t="s">
        <v>47</v>
      </c>
      <c r="O2" s="3" t="s">
        <v>48</v>
      </c>
      <c r="P2" s="3" t="s">
        <v>570</v>
      </c>
      <c r="Q2" s="3" t="s">
        <v>571</v>
      </c>
      <c r="R2" s="3" t="s">
        <v>50</v>
      </c>
      <c r="S2" s="3" t="s">
        <v>572</v>
      </c>
      <c r="T2" s="3" t="s">
        <v>49</v>
      </c>
      <c r="U2" s="3" t="s">
        <v>569</v>
      </c>
      <c r="V2" s="3" t="s">
        <v>54</v>
      </c>
      <c r="W2" s="3" t="s">
        <v>68</v>
      </c>
      <c r="X2" s="3" t="s">
        <v>68</v>
      </c>
      <c r="Y2" s="3" t="s">
        <v>70</v>
      </c>
      <c r="Z2" s="3" t="s">
        <v>89</v>
      </c>
      <c r="AA2" s="3" t="s">
        <v>88</v>
      </c>
      <c r="AB2" s="3" t="s">
        <v>69</v>
      </c>
      <c r="AC2" s="3" t="s">
        <v>573</v>
      </c>
      <c r="AD2" s="3" t="s">
        <v>573</v>
      </c>
      <c r="AE2" s="3" t="s">
        <v>574</v>
      </c>
      <c r="AF2" s="3" t="s">
        <v>575</v>
      </c>
      <c r="AG2" s="3" t="s">
        <v>576</v>
      </c>
      <c r="AH2" s="3" t="s">
        <v>577</v>
      </c>
      <c r="AI2" s="3" t="s">
        <v>578</v>
      </c>
      <c r="AJ2" s="3" t="s">
        <v>579</v>
      </c>
      <c r="AK2" s="3" t="s">
        <v>579</v>
      </c>
      <c r="AL2" s="3" t="s">
        <v>573</v>
      </c>
      <c r="AM2" s="3" t="s">
        <v>565</v>
      </c>
      <c r="AN2" s="3" t="s">
        <v>306</v>
      </c>
      <c r="AO2" s="3" t="s">
        <v>311</v>
      </c>
      <c r="AP2" s="3" t="s">
        <v>580</v>
      </c>
      <c r="AQ2" s="3" t="s">
        <v>580</v>
      </c>
      <c r="AR2" s="3" t="s">
        <v>350</v>
      </c>
      <c r="AS2" s="3" t="s">
        <v>581</v>
      </c>
      <c r="AT2" s="3" t="s">
        <v>569</v>
      </c>
      <c r="AU2" s="3" t="s">
        <v>316</v>
      </c>
      <c r="AV2" s="3" t="s">
        <v>582</v>
      </c>
      <c r="AW2" s="3" t="s">
        <v>583</v>
      </c>
      <c r="AX2" s="3" t="s">
        <v>57</v>
      </c>
      <c r="AY2" s="3" t="s">
        <v>57</v>
      </c>
      <c r="BB2" s="3" t="s">
        <v>583</v>
      </c>
      <c r="BC2" s="3" t="s">
        <v>308</v>
      </c>
      <c r="BD2" s="3" t="s">
        <v>335</v>
      </c>
      <c r="BE2" s="3" t="s">
        <v>584</v>
      </c>
      <c r="BF2" s="3" t="s">
        <v>583</v>
      </c>
      <c r="BG2" s="3" t="s">
        <v>57</v>
      </c>
      <c r="BH2" s="3" t="s">
        <v>57</v>
      </c>
      <c r="BI2" s="3" t="s">
        <v>57</v>
      </c>
      <c r="BJ2" s="3" t="s">
        <v>57</v>
      </c>
      <c r="BK2" s="3" t="s">
        <v>57</v>
      </c>
      <c r="BL2" s="3" t="s">
        <v>57</v>
      </c>
      <c r="BM2" s="3" t="s">
        <v>57</v>
      </c>
      <c r="BN2" s="3" t="s">
        <v>57</v>
      </c>
      <c r="BO2" s="3" t="s">
        <v>57</v>
      </c>
      <c r="BP2" s="3" t="s">
        <v>585</v>
      </c>
      <c r="BQ2" s="3" t="s">
        <v>511</v>
      </c>
      <c r="BR2" s="3" t="s">
        <v>586</v>
      </c>
      <c r="BS2" s="3" t="s">
        <v>512</v>
      </c>
      <c r="BT2" s="3" t="s">
        <v>513</v>
      </c>
      <c r="BU2" s="3" t="s">
        <v>587</v>
      </c>
      <c r="BX2" s="3" t="s">
        <v>587</v>
      </c>
      <c r="BY2" s="3" t="s">
        <v>573</v>
      </c>
      <c r="CD2" s="3" t="s">
        <v>514</v>
      </c>
      <c r="CH2" s="3" t="s">
        <v>573</v>
      </c>
      <c r="CI2" s="3" t="s">
        <v>515</v>
      </c>
      <c r="CJ2" s="3" t="s">
        <v>57</v>
      </c>
      <c r="CK2" s="3" t="s">
        <v>577</v>
      </c>
      <c r="CL2" s="3" t="s">
        <v>584</v>
      </c>
      <c r="CM2" s="3" t="s">
        <v>577</v>
      </c>
    </row>
    <row r="3" spans="1:91" x14ac:dyDescent="0.25">
      <c r="A3" s="3" t="s">
        <v>560</v>
      </c>
      <c r="B3" s="3" t="s">
        <v>561</v>
      </c>
      <c r="C3" s="3" t="s">
        <v>227</v>
      </c>
      <c r="D3" s="3" t="s">
        <v>562</v>
      </c>
      <c r="E3" s="3" t="s">
        <v>563</v>
      </c>
      <c r="F3" s="3" t="s">
        <v>564</v>
      </c>
      <c r="G3" s="3" t="s">
        <v>565</v>
      </c>
      <c r="H3" s="3" t="s">
        <v>566</v>
      </c>
      <c r="I3" s="3" t="s">
        <v>567</v>
      </c>
      <c r="J3" s="3" t="s">
        <v>568</v>
      </c>
      <c r="K3" s="3" t="s">
        <v>566</v>
      </c>
      <c r="L3" s="3" t="s">
        <v>569</v>
      </c>
      <c r="M3" s="3" t="s">
        <v>46</v>
      </c>
      <c r="N3" s="3" t="s">
        <v>47</v>
      </c>
      <c r="O3" s="3" t="s">
        <v>48</v>
      </c>
      <c r="P3" s="3" t="s">
        <v>570</v>
      </c>
      <c r="Q3" s="3" t="s">
        <v>571</v>
      </c>
      <c r="R3" s="3" t="s">
        <v>50</v>
      </c>
      <c r="S3" s="3" t="s">
        <v>572</v>
      </c>
      <c r="T3" s="3" t="s">
        <v>49</v>
      </c>
      <c r="U3" s="3" t="s">
        <v>569</v>
      </c>
      <c r="V3" s="3" t="s">
        <v>54</v>
      </c>
      <c r="W3" s="3" t="s">
        <v>68</v>
      </c>
      <c r="X3" s="3" t="s">
        <v>68</v>
      </c>
      <c r="Y3" s="3" t="s">
        <v>70</v>
      </c>
      <c r="Z3" s="3" t="s">
        <v>89</v>
      </c>
      <c r="AA3" s="3" t="s">
        <v>88</v>
      </c>
      <c r="AB3" s="3" t="s">
        <v>69</v>
      </c>
      <c r="AC3" s="3" t="s">
        <v>573</v>
      </c>
      <c r="AD3" s="3" t="s">
        <v>573</v>
      </c>
      <c r="AE3" s="3" t="s">
        <v>574</v>
      </c>
      <c r="AF3" s="3" t="s">
        <v>575</v>
      </c>
      <c r="AG3" s="3" t="s">
        <v>576</v>
      </c>
      <c r="AH3" s="3" t="s">
        <v>577</v>
      </c>
      <c r="AI3" s="3" t="s">
        <v>588</v>
      </c>
      <c r="AJ3" s="3" t="s">
        <v>565</v>
      </c>
      <c r="AK3" s="3" t="s">
        <v>565</v>
      </c>
      <c r="AL3" s="3" t="s">
        <v>589</v>
      </c>
      <c r="AM3" s="3" t="s">
        <v>590</v>
      </c>
      <c r="AN3" s="3" t="s">
        <v>306</v>
      </c>
      <c r="AO3" s="3" t="s">
        <v>311</v>
      </c>
      <c r="AP3" s="3" t="s">
        <v>591</v>
      </c>
      <c r="AQ3" s="3" t="s">
        <v>591</v>
      </c>
      <c r="AR3" s="3" t="s">
        <v>352</v>
      </c>
      <c r="AS3" s="3" t="s">
        <v>571</v>
      </c>
      <c r="AT3" s="3" t="s">
        <v>569</v>
      </c>
      <c r="AU3" s="3" t="s">
        <v>310</v>
      </c>
      <c r="AV3" s="3" t="s">
        <v>592</v>
      </c>
      <c r="AW3" s="3" t="s">
        <v>593</v>
      </c>
      <c r="AX3" s="3" t="s">
        <v>57</v>
      </c>
      <c r="AY3" s="3" t="s">
        <v>57</v>
      </c>
      <c r="BB3" s="3" t="s">
        <v>594</v>
      </c>
      <c r="BC3" s="3" t="s">
        <v>314</v>
      </c>
      <c r="BD3" s="3" t="s">
        <v>315</v>
      </c>
      <c r="BE3" s="3" t="s">
        <v>595</v>
      </c>
      <c r="BF3" s="3" t="s">
        <v>596</v>
      </c>
      <c r="BG3" s="3" t="s">
        <v>57</v>
      </c>
      <c r="BH3" s="3" t="s">
        <v>57</v>
      </c>
      <c r="BI3" s="3" t="s">
        <v>57</v>
      </c>
      <c r="BJ3" s="3" t="s">
        <v>57</v>
      </c>
      <c r="BK3" s="3" t="s">
        <v>57</v>
      </c>
      <c r="BL3" s="3" t="s">
        <v>57</v>
      </c>
      <c r="BM3" s="3" t="s">
        <v>57</v>
      </c>
      <c r="BN3" s="3" t="s">
        <v>57</v>
      </c>
      <c r="BO3" s="3" t="s">
        <v>57</v>
      </c>
      <c r="BP3" s="3" t="s">
        <v>585</v>
      </c>
      <c r="BQ3" s="3" t="s">
        <v>511</v>
      </c>
      <c r="BR3" s="3" t="s">
        <v>586</v>
      </c>
      <c r="BS3" s="3" t="s">
        <v>512</v>
      </c>
      <c r="BT3" s="3" t="s">
        <v>513</v>
      </c>
      <c r="BU3" s="3" t="s">
        <v>587</v>
      </c>
      <c r="BX3" s="3" t="s">
        <v>587</v>
      </c>
      <c r="BY3" s="3" t="s">
        <v>573</v>
      </c>
      <c r="CD3" s="3" t="s">
        <v>514</v>
      </c>
      <c r="CH3" s="3" t="s">
        <v>573</v>
      </c>
      <c r="CI3" s="3" t="s">
        <v>515</v>
      </c>
      <c r="CJ3" s="3" t="s">
        <v>57</v>
      </c>
      <c r="CK3" s="3" t="s">
        <v>577</v>
      </c>
      <c r="CL3" s="3" t="s">
        <v>584</v>
      </c>
      <c r="CM3" s="3" t="s">
        <v>577</v>
      </c>
    </row>
    <row r="4" spans="1:91" x14ac:dyDescent="0.25">
      <c r="A4" s="3" t="s">
        <v>597</v>
      </c>
      <c r="B4" s="3" t="s">
        <v>598</v>
      </c>
      <c r="C4" s="3" t="s">
        <v>236</v>
      </c>
      <c r="D4" s="3" t="s">
        <v>562</v>
      </c>
      <c r="E4" s="3" t="s">
        <v>563</v>
      </c>
      <c r="F4" s="3" t="s">
        <v>564</v>
      </c>
      <c r="G4" s="3" t="s">
        <v>565</v>
      </c>
      <c r="H4" s="3" t="s">
        <v>599</v>
      </c>
      <c r="I4" s="3" t="s">
        <v>600</v>
      </c>
      <c r="J4" s="3" t="s">
        <v>601</v>
      </c>
      <c r="K4" s="3" t="s">
        <v>599</v>
      </c>
      <c r="L4" s="3" t="s">
        <v>569</v>
      </c>
      <c r="M4" s="3" t="s">
        <v>46</v>
      </c>
      <c r="N4" s="3" t="s">
        <v>47</v>
      </c>
      <c r="O4" s="3" t="s">
        <v>48</v>
      </c>
      <c r="P4" s="3" t="s">
        <v>570</v>
      </c>
      <c r="Q4" s="3" t="s">
        <v>571</v>
      </c>
      <c r="R4" s="3" t="s">
        <v>50</v>
      </c>
      <c r="S4" s="3" t="s">
        <v>572</v>
      </c>
      <c r="T4" s="3" t="s">
        <v>49</v>
      </c>
      <c r="U4" s="3" t="s">
        <v>569</v>
      </c>
      <c r="V4" s="3" t="s">
        <v>54</v>
      </c>
      <c r="W4" s="3" t="s">
        <v>187</v>
      </c>
      <c r="X4" s="3" t="s">
        <v>187</v>
      </c>
      <c r="Y4" s="3" t="s">
        <v>70</v>
      </c>
      <c r="Z4" s="3" t="s">
        <v>89</v>
      </c>
      <c r="AA4" s="3" t="s">
        <v>88</v>
      </c>
      <c r="AB4" s="3" t="s">
        <v>69</v>
      </c>
      <c r="AC4" s="3" t="s">
        <v>573</v>
      </c>
      <c r="AD4" s="3" t="s">
        <v>573</v>
      </c>
      <c r="AE4" s="3" t="s">
        <v>602</v>
      </c>
      <c r="AF4" s="3" t="s">
        <v>603</v>
      </c>
      <c r="AG4" s="3" t="s">
        <v>604</v>
      </c>
      <c r="AH4" s="3" t="s">
        <v>605</v>
      </c>
      <c r="AI4" s="3" t="s">
        <v>606</v>
      </c>
      <c r="AJ4" s="3" t="s">
        <v>565</v>
      </c>
      <c r="AK4" s="3" t="s">
        <v>565</v>
      </c>
      <c r="AL4" s="3" t="s">
        <v>573</v>
      </c>
      <c r="AM4" s="3" t="s">
        <v>565</v>
      </c>
      <c r="AN4" s="3" t="s">
        <v>190</v>
      </c>
      <c r="AO4" s="3" t="s">
        <v>311</v>
      </c>
      <c r="AP4" s="3" t="s">
        <v>580</v>
      </c>
      <c r="AQ4" s="3" t="s">
        <v>580</v>
      </c>
      <c r="AR4" s="3" t="s">
        <v>350</v>
      </c>
      <c r="AS4" s="3" t="s">
        <v>581</v>
      </c>
      <c r="AT4" s="3" t="s">
        <v>569</v>
      </c>
      <c r="AU4" s="3" t="s">
        <v>316</v>
      </c>
      <c r="AV4" s="3" t="s">
        <v>607</v>
      </c>
      <c r="AW4" s="3" t="s">
        <v>583</v>
      </c>
      <c r="AX4" s="3" t="s">
        <v>57</v>
      </c>
      <c r="AY4" s="3" t="s">
        <v>57</v>
      </c>
      <c r="BB4" s="3" t="s">
        <v>608</v>
      </c>
      <c r="BC4" s="3" t="s">
        <v>308</v>
      </c>
      <c r="BD4" s="3" t="s">
        <v>335</v>
      </c>
      <c r="BE4" s="3" t="s">
        <v>584</v>
      </c>
      <c r="BF4" s="3" t="s">
        <v>608</v>
      </c>
      <c r="BG4" s="3" t="s">
        <v>571</v>
      </c>
      <c r="BH4" s="3" t="s">
        <v>569</v>
      </c>
      <c r="BI4" s="3" t="s">
        <v>574</v>
      </c>
      <c r="BJ4" s="3" t="s">
        <v>566</v>
      </c>
      <c r="BK4" s="3" t="s">
        <v>47</v>
      </c>
      <c r="BL4" s="3" t="s">
        <v>575</v>
      </c>
      <c r="BM4" s="3" t="s">
        <v>566</v>
      </c>
      <c r="BN4" s="3" t="s">
        <v>68</v>
      </c>
      <c r="BO4" s="3" t="s">
        <v>573</v>
      </c>
      <c r="BP4" s="3" t="s">
        <v>585</v>
      </c>
      <c r="BQ4" s="3" t="s">
        <v>511</v>
      </c>
      <c r="BR4" s="3" t="s">
        <v>586</v>
      </c>
      <c r="BS4" s="3" t="s">
        <v>512</v>
      </c>
      <c r="BT4" s="3" t="s">
        <v>513</v>
      </c>
      <c r="BU4" s="3" t="s">
        <v>587</v>
      </c>
      <c r="BX4" s="3" t="s">
        <v>587</v>
      </c>
      <c r="BY4" s="3" t="s">
        <v>573</v>
      </c>
      <c r="CD4" s="3" t="s">
        <v>514</v>
      </c>
      <c r="CH4" s="3" t="s">
        <v>573</v>
      </c>
      <c r="CI4" s="3" t="s">
        <v>516</v>
      </c>
      <c r="CJ4" s="3" t="s">
        <v>57</v>
      </c>
      <c r="CK4" s="3" t="s">
        <v>577</v>
      </c>
      <c r="CL4" s="3" t="s">
        <v>584</v>
      </c>
      <c r="CM4" s="3" t="s">
        <v>577</v>
      </c>
    </row>
    <row r="5" spans="1:91" x14ac:dyDescent="0.25">
      <c r="A5" s="3" t="s">
        <v>597</v>
      </c>
      <c r="B5" s="3" t="s">
        <v>598</v>
      </c>
      <c r="C5" s="3" t="s">
        <v>236</v>
      </c>
      <c r="D5" s="3" t="s">
        <v>562</v>
      </c>
      <c r="E5" s="3" t="s">
        <v>563</v>
      </c>
      <c r="F5" s="3" t="s">
        <v>564</v>
      </c>
      <c r="G5" s="3" t="s">
        <v>565</v>
      </c>
      <c r="H5" s="3" t="s">
        <v>599</v>
      </c>
      <c r="I5" s="3" t="s">
        <v>600</v>
      </c>
      <c r="J5" s="3" t="s">
        <v>601</v>
      </c>
      <c r="K5" s="3" t="s">
        <v>599</v>
      </c>
      <c r="L5" s="3" t="s">
        <v>569</v>
      </c>
      <c r="M5" s="3" t="s">
        <v>46</v>
      </c>
      <c r="N5" s="3" t="s">
        <v>47</v>
      </c>
      <c r="O5" s="3" t="s">
        <v>48</v>
      </c>
      <c r="P5" s="3" t="s">
        <v>570</v>
      </c>
      <c r="Q5" s="3" t="s">
        <v>571</v>
      </c>
      <c r="R5" s="3" t="s">
        <v>50</v>
      </c>
      <c r="S5" s="3" t="s">
        <v>572</v>
      </c>
      <c r="T5" s="3" t="s">
        <v>49</v>
      </c>
      <c r="U5" s="3" t="s">
        <v>569</v>
      </c>
      <c r="V5" s="3" t="s">
        <v>54</v>
      </c>
      <c r="W5" s="3" t="s">
        <v>187</v>
      </c>
      <c r="X5" s="3" t="s">
        <v>187</v>
      </c>
      <c r="Y5" s="3" t="s">
        <v>70</v>
      </c>
      <c r="Z5" s="3" t="s">
        <v>89</v>
      </c>
      <c r="AA5" s="3" t="s">
        <v>88</v>
      </c>
      <c r="AB5" s="3" t="s">
        <v>69</v>
      </c>
      <c r="AC5" s="3" t="s">
        <v>573</v>
      </c>
      <c r="AD5" s="3" t="s">
        <v>573</v>
      </c>
      <c r="AE5" s="3" t="s">
        <v>602</v>
      </c>
      <c r="AF5" s="3" t="s">
        <v>603</v>
      </c>
      <c r="AG5" s="3" t="s">
        <v>604</v>
      </c>
      <c r="AH5" s="3" t="s">
        <v>605</v>
      </c>
      <c r="AI5" s="3" t="s">
        <v>609</v>
      </c>
      <c r="AJ5" s="3" t="s">
        <v>564</v>
      </c>
      <c r="AK5" s="3" t="s">
        <v>564</v>
      </c>
      <c r="AL5" s="3" t="s">
        <v>589</v>
      </c>
      <c r="AM5" s="3" t="s">
        <v>610</v>
      </c>
      <c r="AN5" s="3" t="s">
        <v>190</v>
      </c>
      <c r="AO5" s="3" t="s">
        <v>311</v>
      </c>
      <c r="AP5" s="3" t="s">
        <v>591</v>
      </c>
      <c r="AQ5" s="3" t="s">
        <v>591</v>
      </c>
      <c r="AR5" s="3" t="s">
        <v>352</v>
      </c>
      <c r="AS5" s="3" t="s">
        <v>571</v>
      </c>
      <c r="AT5" s="3" t="s">
        <v>569</v>
      </c>
      <c r="AU5" s="3" t="s">
        <v>310</v>
      </c>
      <c r="AV5" s="3" t="s">
        <v>611</v>
      </c>
      <c r="AW5" s="3" t="s">
        <v>593</v>
      </c>
      <c r="AX5" s="3" t="s">
        <v>57</v>
      </c>
      <c r="AY5" s="3" t="s">
        <v>57</v>
      </c>
      <c r="BB5" s="3" t="s">
        <v>612</v>
      </c>
      <c r="BC5" s="3" t="s">
        <v>314</v>
      </c>
      <c r="BD5" s="3" t="s">
        <v>315</v>
      </c>
      <c r="BE5" s="3" t="s">
        <v>613</v>
      </c>
      <c r="BF5" s="3" t="s">
        <v>614</v>
      </c>
      <c r="BG5" s="3" t="s">
        <v>571</v>
      </c>
      <c r="BH5" s="3" t="s">
        <v>569</v>
      </c>
      <c r="BI5" s="3" t="s">
        <v>574</v>
      </c>
      <c r="BJ5" s="3" t="s">
        <v>566</v>
      </c>
      <c r="BK5" s="3" t="s">
        <v>47</v>
      </c>
      <c r="BL5" s="3" t="s">
        <v>575</v>
      </c>
      <c r="BM5" s="3" t="s">
        <v>566</v>
      </c>
      <c r="BN5" s="3" t="s">
        <v>68</v>
      </c>
      <c r="BO5" s="3" t="s">
        <v>573</v>
      </c>
      <c r="BP5" s="3" t="s">
        <v>585</v>
      </c>
      <c r="BQ5" s="3" t="s">
        <v>511</v>
      </c>
      <c r="BR5" s="3" t="s">
        <v>586</v>
      </c>
      <c r="BS5" s="3" t="s">
        <v>512</v>
      </c>
      <c r="BT5" s="3" t="s">
        <v>513</v>
      </c>
      <c r="BU5" s="3" t="s">
        <v>587</v>
      </c>
      <c r="BX5" s="3" t="s">
        <v>587</v>
      </c>
      <c r="BY5" s="3" t="s">
        <v>573</v>
      </c>
      <c r="CD5" s="3" t="s">
        <v>514</v>
      </c>
      <c r="CH5" s="3" t="s">
        <v>573</v>
      </c>
      <c r="CI5" s="3" t="s">
        <v>516</v>
      </c>
      <c r="CJ5" s="3" t="s">
        <v>57</v>
      </c>
      <c r="CK5" s="3" t="s">
        <v>577</v>
      </c>
      <c r="CL5" s="3" t="s">
        <v>584</v>
      </c>
      <c r="CM5" s="3" t="s">
        <v>577</v>
      </c>
    </row>
    <row r="6" spans="1:91" x14ac:dyDescent="0.25">
      <c r="A6" s="3" t="s">
        <v>615</v>
      </c>
      <c r="B6" s="3" t="s">
        <v>616</v>
      </c>
      <c r="C6" s="3" t="s">
        <v>245</v>
      </c>
      <c r="D6" s="3" t="s">
        <v>562</v>
      </c>
      <c r="E6" s="3" t="s">
        <v>563</v>
      </c>
      <c r="F6" s="3" t="s">
        <v>564</v>
      </c>
      <c r="G6" s="3" t="s">
        <v>565</v>
      </c>
      <c r="H6" s="3" t="s">
        <v>617</v>
      </c>
      <c r="I6" s="3" t="s">
        <v>618</v>
      </c>
      <c r="J6" s="3" t="s">
        <v>619</v>
      </c>
      <c r="K6" s="3" t="s">
        <v>617</v>
      </c>
      <c r="L6" s="3" t="s">
        <v>569</v>
      </c>
      <c r="M6" s="3" t="s">
        <v>46</v>
      </c>
      <c r="N6" s="3" t="s">
        <v>47</v>
      </c>
      <c r="O6" s="3" t="s">
        <v>48</v>
      </c>
      <c r="P6" s="3" t="s">
        <v>570</v>
      </c>
      <c r="Q6" s="3" t="s">
        <v>571</v>
      </c>
      <c r="R6" s="3" t="s">
        <v>50</v>
      </c>
      <c r="S6" s="3" t="s">
        <v>572</v>
      </c>
      <c r="T6" s="3" t="s">
        <v>49</v>
      </c>
      <c r="U6" s="3" t="s">
        <v>569</v>
      </c>
      <c r="V6" s="3" t="s">
        <v>54</v>
      </c>
      <c r="W6" s="3" t="s">
        <v>68</v>
      </c>
      <c r="X6" s="3" t="s">
        <v>68</v>
      </c>
      <c r="Y6" s="3" t="s">
        <v>70</v>
      </c>
      <c r="Z6" s="3" t="s">
        <v>89</v>
      </c>
      <c r="AA6" s="3" t="s">
        <v>88</v>
      </c>
      <c r="AB6" s="3" t="s">
        <v>69</v>
      </c>
      <c r="AC6" s="3" t="s">
        <v>573</v>
      </c>
      <c r="AD6" s="3" t="s">
        <v>573</v>
      </c>
      <c r="AE6" s="3" t="s">
        <v>620</v>
      </c>
      <c r="AF6" s="3" t="s">
        <v>621</v>
      </c>
      <c r="AG6" s="3" t="s">
        <v>622</v>
      </c>
      <c r="AH6" s="3" t="s">
        <v>623</v>
      </c>
      <c r="AI6" s="3" t="s">
        <v>624</v>
      </c>
      <c r="AJ6" s="3" t="s">
        <v>579</v>
      </c>
      <c r="AK6" s="3" t="s">
        <v>579</v>
      </c>
      <c r="AL6" s="3" t="s">
        <v>573</v>
      </c>
      <c r="AM6" s="3" t="s">
        <v>564</v>
      </c>
      <c r="AN6" s="3" t="s">
        <v>306</v>
      </c>
      <c r="AO6" s="3" t="s">
        <v>311</v>
      </c>
      <c r="AP6" s="3" t="s">
        <v>625</v>
      </c>
      <c r="AQ6" s="3" t="s">
        <v>625</v>
      </c>
      <c r="AR6" s="3" t="s">
        <v>356</v>
      </c>
      <c r="AS6" s="3" t="s">
        <v>626</v>
      </c>
      <c r="AT6" s="3" t="s">
        <v>569</v>
      </c>
      <c r="AU6" s="3" t="s">
        <v>310</v>
      </c>
      <c r="AV6" s="3" t="s">
        <v>592</v>
      </c>
      <c r="AW6" s="3" t="s">
        <v>627</v>
      </c>
      <c r="AX6" s="3" t="s">
        <v>57</v>
      </c>
      <c r="AY6" s="3" t="s">
        <v>57</v>
      </c>
      <c r="BB6" s="3" t="s">
        <v>628</v>
      </c>
      <c r="BC6" s="3" t="s">
        <v>314</v>
      </c>
      <c r="BD6" s="3" t="s">
        <v>315</v>
      </c>
      <c r="BE6" s="3" t="s">
        <v>629</v>
      </c>
      <c r="BF6" s="3" t="s">
        <v>630</v>
      </c>
      <c r="BG6" s="3" t="s">
        <v>57</v>
      </c>
      <c r="BH6" s="3" t="s">
        <v>57</v>
      </c>
      <c r="BI6" s="3" t="s">
        <v>57</v>
      </c>
      <c r="BJ6" s="3" t="s">
        <v>57</v>
      </c>
      <c r="BK6" s="3" t="s">
        <v>57</v>
      </c>
      <c r="BL6" s="3" t="s">
        <v>57</v>
      </c>
      <c r="BM6" s="3" t="s">
        <v>57</v>
      </c>
      <c r="BN6" s="3" t="s">
        <v>57</v>
      </c>
      <c r="BO6" s="3" t="s">
        <v>57</v>
      </c>
      <c r="BP6" s="3" t="s">
        <v>631</v>
      </c>
      <c r="BQ6" s="3" t="s">
        <v>511</v>
      </c>
      <c r="BR6" s="3" t="s">
        <v>586</v>
      </c>
      <c r="BS6" s="3" t="s">
        <v>517</v>
      </c>
      <c r="BT6" s="3" t="s">
        <v>518</v>
      </c>
      <c r="BU6" s="3" t="s">
        <v>632</v>
      </c>
      <c r="BX6" s="3" t="s">
        <v>632</v>
      </c>
      <c r="BY6" s="3" t="s">
        <v>573</v>
      </c>
      <c r="CD6" s="3" t="s">
        <v>519</v>
      </c>
      <c r="CH6" s="3" t="s">
        <v>573</v>
      </c>
      <c r="CI6" s="3" t="s">
        <v>520</v>
      </c>
      <c r="CJ6" s="3" t="s">
        <v>57</v>
      </c>
      <c r="CK6" s="3" t="s">
        <v>623</v>
      </c>
      <c r="CL6" s="3" t="s">
        <v>584</v>
      </c>
      <c r="CM6" s="3" t="s">
        <v>623</v>
      </c>
    </row>
    <row r="7" spans="1:91" x14ac:dyDescent="0.25">
      <c r="A7" s="3" t="s">
        <v>615</v>
      </c>
      <c r="B7" s="3" t="s">
        <v>616</v>
      </c>
      <c r="C7" s="3" t="s">
        <v>245</v>
      </c>
      <c r="D7" s="3" t="s">
        <v>562</v>
      </c>
      <c r="E7" s="3" t="s">
        <v>563</v>
      </c>
      <c r="F7" s="3" t="s">
        <v>564</v>
      </c>
      <c r="G7" s="3" t="s">
        <v>565</v>
      </c>
      <c r="H7" s="3" t="s">
        <v>617</v>
      </c>
      <c r="I7" s="3" t="s">
        <v>618</v>
      </c>
      <c r="J7" s="3" t="s">
        <v>619</v>
      </c>
      <c r="K7" s="3" t="s">
        <v>617</v>
      </c>
      <c r="L7" s="3" t="s">
        <v>569</v>
      </c>
      <c r="M7" s="3" t="s">
        <v>46</v>
      </c>
      <c r="N7" s="3" t="s">
        <v>47</v>
      </c>
      <c r="O7" s="3" t="s">
        <v>48</v>
      </c>
      <c r="P7" s="3" t="s">
        <v>570</v>
      </c>
      <c r="Q7" s="3" t="s">
        <v>571</v>
      </c>
      <c r="R7" s="3" t="s">
        <v>50</v>
      </c>
      <c r="S7" s="3" t="s">
        <v>572</v>
      </c>
      <c r="T7" s="3" t="s">
        <v>49</v>
      </c>
      <c r="U7" s="3" t="s">
        <v>569</v>
      </c>
      <c r="V7" s="3" t="s">
        <v>54</v>
      </c>
      <c r="W7" s="3" t="s">
        <v>68</v>
      </c>
      <c r="X7" s="3" t="s">
        <v>68</v>
      </c>
      <c r="Y7" s="3" t="s">
        <v>70</v>
      </c>
      <c r="Z7" s="3" t="s">
        <v>89</v>
      </c>
      <c r="AA7" s="3" t="s">
        <v>88</v>
      </c>
      <c r="AB7" s="3" t="s">
        <v>69</v>
      </c>
      <c r="AC7" s="3" t="s">
        <v>573</v>
      </c>
      <c r="AD7" s="3" t="s">
        <v>573</v>
      </c>
      <c r="AE7" s="3" t="s">
        <v>620</v>
      </c>
      <c r="AF7" s="3" t="s">
        <v>621</v>
      </c>
      <c r="AG7" s="3" t="s">
        <v>622</v>
      </c>
      <c r="AH7" s="3" t="s">
        <v>623</v>
      </c>
      <c r="AI7" s="3" t="s">
        <v>633</v>
      </c>
      <c r="AJ7" s="3" t="s">
        <v>565</v>
      </c>
      <c r="AK7" s="3" t="s">
        <v>565</v>
      </c>
      <c r="AL7" s="3" t="s">
        <v>589</v>
      </c>
      <c r="AM7" s="3" t="s">
        <v>590</v>
      </c>
      <c r="AN7" s="3" t="s">
        <v>306</v>
      </c>
      <c r="AO7" s="3" t="s">
        <v>311</v>
      </c>
      <c r="AP7" s="3" t="s">
        <v>634</v>
      </c>
      <c r="AQ7" s="3" t="s">
        <v>634</v>
      </c>
      <c r="AR7" s="3" t="s">
        <v>358</v>
      </c>
      <c r="AS7" s="3" t="s">
        <v>626</v>
      </c>
      <c r="AT7" s="3" t="s">
        <v>569</v>
      </c>
      <c r="AU7" s="3" t="s">
        <v>310</v>
      </c>
      <c r="AV7" s="3" t="s">
        <v>635</v>
      </c>
      <c r="AW7" s="3" t="s">
        <v>636</v>
      </c>
      <c r="AX7" s="3" t="s">
        <v>57</v>
      </c>
      <c r="AY7" s="3" t="s">
        <v>57</v>
      </c>
      <c r="BB7" s="3" t="s">
        <v>637</v>
      </c>
      <c r="BC7" s="3" t="s">
        <v>314</v>
      </c>
      <c r="BD7" s="3" t="s">
        <v>315</v>
      </c>
      <c r="BE7" s="3" t="s">
        <v>638</v>
      </c>
      <c r="BF7" s="3" t="s">
        <v>639</v>
      </c>
      <c r="BG7" s="3" t="s">
        <v>57</v>
      </c>
      <c r="BH7" s="3" t="s">
        <v>57</v>
      </c>
      <c r="BI7" s="3" t="s">
        <v>57</v>
      </c>
      <c r="BJ7" s="3" t="s">
        <v>57</v>
      </c>
      <c r="BK7" s="3" t="s">
        <v>57</v>
      </c>
      <c r="BL7" s="3" t="s">
        <v>57</v>
      </c>
      <c r="BM7" s="3" t="s">
        <v>57</v>
      </c>
      <c r="BN7" s="3" t="s">
        <v>57</v>
      </c>
      <c r="BO7" s="3" t="s">
        <v>57</v>
      </c>
      <c r="BP7" s="3" t="s">
        <v>631</v>
      </c>
      <c r="BQ7" s="3" t="s">
        <v>511</v>
      </c>
      <c r="BR7" s="3" t="s">
        <v>586</v>
      </c>
      <c r="BS7" s="3" t="s">
        <v>517</v>
      </c>
      <c r="BT7" s="3" t="s">
        <v>518</v>
      </c>
      <c r="BU7" s="3" t="s">
        <v>632</v>
      </c>
      <c r="BX7" s="3" t="s">
        <v>632</v>
      </c>
      <c r="BY7" s="3" t="s">
        <v>573</v>
      </c>
      <c r="CD7" s="3" t="s">
        <v>519</v>
      </c>
      <c r="CH7" s="3" t="s">
        <v>573</v>
      </c>
      <c r="CI7" s="3" t="s">
        <v>520</v>
      </c>
      <c r="CJ7" s="3" t="s">
        <v>57</v>
      </c>
      <c r="CK7" s="3" t="s">
        <v>623</v>
      </c>
      <c r="CL7" s="3" t="s">
        <v>584</v>
      </c>
      <c r="CM7" s="3" t="s">
        <v>623</v>
      </c>
    </row>
    <row r="8" spans="1:91" x14ac:dyDescent="0.25">
      <c r="A8" s="3" t="s">
        <v>640</v>
      </c>
      <c r="B8" s="3" t="s">
        <v>641</v>
      </c>
      <c r="C8" s="3" t="s">
        <v>251</v>
      </c>
      <c r="D8" s="3" t="s">
        <v>562</v>
      </c>
      <c r="E8" s="3" t="s">
        <v>563</v>
      </c>
      <c r="F8" s="3" t="s">
        <v>564</v>
      </c>
      <c r="G8" s="3" t="s">
        <v>565</v>
      </c>
      <c r="H8" s="3" t="s">
        <v>642</v>
      </c>
      <c r="I8" s="3" t="s">
        <v>643</v>
      </c>
      <c r="J8" s="3" t="s">
        <v>644</v>
      </c>
      <c r="K8" s="3" t="s">
        <v>642</v>
      </c>
      <c r="L8" s="3" t="s">
        <v>569</v>
      </c>
      <c r="M8" s="3" t="s">
        <v>46</v>
      </c>
      <c r="N8" s="3" t="s">
        <v>47</v>
      </c>
      <c r="O8" s="3" t="s">
        <v>48</v>
      </c>
      <c r="P8" s="3" t="s">
        <v>570</v>
      </c>
      <c r="Q8" s="3" t="s">
        <v>571</v>
      </c>
      <c r="R8" s="3" t="s">
        <v>50</v>
      </c>
      <c r="S8" s="3" t="s">
        <v>572</v>
      </c>
      <c r="T8" s="3" t="s">
        <v>49</v>
      </c>
      <c r="U8" s="3" t="s">
        <v>569</v>
      </c>
      <c r="V8" s="3" t="s">
        <v>54</v>
      </c>
      <c r="W8" s="3" t="s">
        <v>68</v>
      </c>
      <c r="X8" s="3" t="s">
        <v>68</v>
      </c>
      <c r="Y8" s="3" t="s">
        <v>70</v>
      </c>
      <c r="Z8" s="3" t="s">
        <v>89</v>
      </c>
      <c r="AA8" s="3" t="s">
        <v>88</v>
      </c>
      <c r="AB8" s="3" t="s">
        <v>69</v>
      </c>
      <c r="AC8" s="3" t="s">
        <v>573</v>
      </c>
      <c r="AD8" s="3" t="s">
        <v>573</v>
      </c>
      <c r="AE8" s="3" t="s">
        <v>645</v>
      </c>
      <c r="AF8" s="3" t="s">
        <v>646</v>
      </c>
      <c r="AG8" s="3" t="s">
        <v>583</v>
      </c>
      <c r="AH8" s="3" t="s">
        <v>583</v>
      </c>
      <c r="AI8" s="3" t="s">
        <v>647</v>
      </c>
      <c r="AJ8" s="3" t="s">
        <v>579</v>
      </c>
      <c r="AK8" s="3" t="s">
        <v>579</v>
      </c>
      <c r="AL8" s="3" t="s">
        <v>573</v>
      </c>
      <c r="AM8" s="3" t="s">
        <v>565</v>
      </c>
      <c r="AN8" s="3" t="s">
        <v>306</v>
      </c>
      <c r="AO8" s="3" t="s">
        <v>311</v>
      </c>
      <c r="AP8" s="3" t="s">
        <v>648</v>
      </c>
      <c r="AQ8" s="3" t="s">
        <v>648</v>
      </c>
      <c r="AR8" s="3" t="s">
        <v>360</v>
      </c>
      <c r="AS8" s="3" t="s">
        <v>581</v>
      </c>
      <c r="AT8" s="3" t="s">
        <v>569</v>
      </c>
      <c r="AU8" s="3" t="s">
        <v>316</v>
      </c>
      <c r="AV8" s="3" t="s">
        <v>582</v>
      </c>
      <c r="AW8" s="3" t="s">
        <v>583</v>
      </c>
      <c r="AX8" s="3" t="s">
        <v>57</v>
      </c>
      <c r="AY8" s="3" t="s">
        <v>57</v>
      </c>
      <c r="BB8" s="3" t="s">
        <v>583</v>
      </c>
      <c r="BC8" s="3" t="s">
        <v>308</v>
      </c>
      <c r="BD8" s="3" t="s">
        <v>335</v>
      </c>
      <c r="BE8" s="3" t="s">
        <v>584</v>
      </c>
      <c r="BF8" s="3" t="s">
        <v>583</v>
      </c>
      <c r="BG8" s="3" t="s">
        <v>57</v>
      </c>
      <c r="BH8" s="3" t="s">
        <v>57</v>
      </c>
      <c r="BI8" s="3" t="s">
        <v>57</v>
      </c>
      <c r="BJ8" s="3" t="s">
        <v>57</v>
      </c>
      <c r="BK8" s="3" t="s">
        <v>57</v>
      </c>
      <c r="BL8" s="3" t="s">
        <v>57</v>
      </c>
      <c r="BM8" s="3" t="s">
        <v>57</v>
      </c>
      <c r="BN8" s="3" t="s">
        <v>57</v>
      </c>
      <c r="BO8" s="3" t="s">
        <v>57</v>
      </c>
      <c r="BP8" s="3" t="s">
        <v>649</v>
      </c>
      <c r="BQ8" s="3" t="s">
        <v>511</v>
      </c>
      <c r="BR8" s="3" t="s">
        <v>586</v>
      </c>
      <c r="BS8" s="3" t="s">
        <v>521</v>
      </c>
      <c r="BT8" s="3" t="s">
        <v>522</v>
      </c>
      <c r="BU8" s="3" t="s">
        <v>650</v>
      </c>
      <c r="BX8" s="3" t="s">
        <v>650</v>
      </c>
      <c r="BY8" s="3" t="s">
        <v>573</v>
      </c>
      <c r="CD8" s="3" t="s">
        <v>523</v>
      </c>
      <c r="CH8" s="3" t="s">
        <v>573</v>
      </c>
      <c r="CI8" s="3" t="s">
        <v>524</v>
      </c>
      <c r="CJ8" s="3" t="s">
        <v>57</v>
      </c>
      <c r="CK8" s="3" t="s">
        <v>583</v>
      </c>
      <c r="CL8" s="3" t="s">
        <v>584</v>
      </c>
      <c r="CM8" s="3" t="s">
        <v>583</v>
      </c>
    </row>
    <row r="9" spans="1:91" x14ac:dyDescent="0.25">
      <c r="A9" s="3" t="s">
        <v>651</v>
      </c>
      <c r="B9" s="3" t="s">
        <v>652</v>
      </c>
      <c r="C9" s="3" t="s">
        <v>254</v>
      </c>
      <c r="D9" s="3" t="s">
        <v>562</v>
      </c>
      <c r="E9" s="3" t="s">
        <v>563</v>
      </c>
      <c r="F9" s="3" t="s">
        <v>564</v>
      </c>
      <c r="G9" s="3" t="s">
        <v>565</v>
      </c>
      <c r="H9" s="3" t="s">
        <v>653</v>
      </c>
      <c r="I9" s="3" t="s">
        <v>654</v>
      </c>
      <c r="J9" s="3" t="s">
        <v>655</v>
      </c>
      <c r="K9" s="3" t="s">
        <v>653</v>
      </c>
      <c r="L9" s="3" t="s">
        <v>569</v>
      </c>
      <c r="M9" s="3" t="s">
        <v>46</v>
      </c>
      <c r="N9" s="3" t="s">
        <v>47</v>
      </c>
      <c r="O9" s="3" t="s">
        <v>48</v>
      </c>
      <c r="P9" s="3" t="s">
        <v>570</v>
      </c>
      <c r="Q9" s="3" t="s">
        <v>571</v>
      </c>
      <c r="R9" s="3" t="s">
        <v>50</v>
      </c>
      <c r="S9" s="3" t="s">
        <v>572</v>
      </c>
      <c r="T9" s="3" t="s">
        <v>49</v>
      </c>
      <c r="U9" s="3" t="s">
        <v>569</v>
      </c>
      <c r="V9" s="3" t="s">
        <v>54</v>
      </c>
      <c r="W9" s="3" t="s">
        <v>68</v>
      </c>
      <c r="X9" s="3" t="s">
        <v>68</v>
      </c>
      <c r="Y9" s="3" t="s">
        <v>70</v>
      </c>
      <c r="Z9" s="3" t="s">
        <v>89</v>
      </c>
      <c r="AA9" s="3" t="s">
        <v>88</v>
      </c>
      <c r="AB9" s="3" t="s">
        <v>69</v>
      </c>
      <c r="AC9" s="3" t="s">
        <v>573</v>
      </c>
      <c r="AD9" s="3" t="s">
        <v>573</v>
      </c>
      <c r="AE9" s="3" t="s">
        <v>656</v>
      </c>
      <c r="AF9" s="3" t="s">
        <v>657</v>
      </c>
      <c r="AG9" s="3" t="s">
        <v>658</v>
      </c>
      <c r="AH9" s="3" t="s">
        <v>659</v>
      </c>
      <c r="AI9" s="3" t="s">
        <v>660</v>
      </c>
      <c r="AJ9" s="3" t="s">
        <v>565</v>
      </c>
      <c r="AK9" s="3" t="s">
        <v>565</v>
      </c>
      <c r="AL9" s="3" t="s">
        <v>573</v>
      </c>
      <c r="AM9" s="3" t="s">
        <v>661</v>
      </c>
      <c r="AN9" s="3" t="s">
        <v>306</v>
      </c>
      <c r="AO9" s="3" t="s">
        <v>311</v>
      </c>
      <c r="AP9" s="3" t="s">
        <v>591</v>
      </c>
      <c r="AQ9" s="3" t="s">
        <v>591</v>
      </c>
      <c r="AR9" s="3" t="s">
        <v>352</v>
      </c>
      <c r="AS9" s="3" t="s">
        <v>571</v>
      </c>
      <c r="AT9" s="3" t="s">
        <v>569</v>
      </c>
      <c r="AU9" s="3" t="s">
        <v>310</v>
      </c>
      <c r="AV9" s="3" t="s">
        <v>582</v>
      </c>
      <c r="AW9" s="3" t="s">
        <v>662</v>
      </c>
      <c r="AX9" s="3" t="s">
        <v>57</v>
      </c>
      <c r="AY9" s="3" t="s">
        <v>57</v>
      </c>
      <c r="BB9" s="3" t="s">
        <v>662</v>
      </c>
      <c r="BC9" s="3" t="s">
        <v>314</v>
      </c>
      <c r="BD9" s="3" t="s">
        <v>315</v>
      </c>
      <c r="BE9" s="3" t="s">
        <v>663</v>
      </c>
      <c r="BF9" s="3" t="s">
        <v>664</v>
      </c>
      <c r="BG9" s="3" t="s">
        <v>57</v>
      </c>
      <c r="BH9" s="3" t="s">
        <v>57</v>
      </c>
      <c r="BI9" s="3" t="s">
        <v>57</v>
      </c>
      <c r="BJ9" s="3" t="s">
        <v>57</v>
      </c>
      <c r="BK9" s="3" t="s">
        <v>57</v>
      </c>
      <c r="BL9" s="3" t="s">
        <v>57</v>
      </c>
      <c r="BM9" s="3" t="s">
        <v>57</v>
      </c>
      <c r="BN9" s="3" t="s">
        <v>57</v>
      </c>
      <c r="BO9" s="3" t="s">
        <v>57</v>
      </c>
      <c r="BP9" s="3" t="s">
        <v>665</v>
      </c>
      <c r="BQ9" s="3" t="s">
        <v>511</v>
      </c>
      <c r="BR9" s="3" t="s">
        <v>586</v>
      </c>
      <c r="BS9" s="3" t="s">
        <v>525</v>
      </c>
      <c r="BT9" s="3" t="s">
        <v>526</v>
      </c>
      <c r="BU9" s="3" t="s">
        <v>666</v>
      </c>
      <c r="BX9" s="3" t="s">
        <v>666</v>
      </c>
      <c r="BY9" s="3" t="s">
        <v>573</v>
      </c>
      <c r="CB9" s="3" t="s">
        <v>71</v>
      </c>
      <c r="CD9" s="3" t="s">
        <v>527</v>
      </c>
      <c r="CE9" s="3" t="s">
        <v>528</v>
      </c>
      <c r="CF9" s="3" t="s">
        <v>529</v>
      </c>
      <c r="CH9" s="3" t="s">
        <v>573</v>
      </c>
      <c r="CI9" s="3" t="s">
        <v>530</v>
      </c>
      <c r="CJ9" s="3" t="s">
        <v>57</v>
      </c>
      <c r="CK9" s="3" t="s">
        <v>659</v>
      </c>
      <c r="CL9" s="3" t="s">
        <v>584</v>
      </c>
      <c r="CM9" s="3" t="s">
        <v>659</v>
      </c>
    </row>
    <row r="10" spans="1:91" x14ac:dyDescent="0.25">
      <c r="A10" s="3" t="s">
        <v>651</v>
      </c>
      <c r="B10" s="3" t="s">
        <v>652</v>
      </c>
      <c r="C10" s="3" t="s">
        <v>254</v>
      </c>
      <c r="D10" s="3" t="s">
        <v>562</v>
      </c>
      <c r="E10" s="3" t="s">
        <v>563</v>
      </c>
      <c r="F10" s="3" t="s">
        <v>564</v>
      </c>
      <c r="G10" s="3" t="s">
        <v>565</v>
      </c>
      <c r="H10" s="3" t="s">
        <v>653</v>
      </c>
      <c r="I10" s="3" t="s">
        <v>654</v>
      </c>
      <c r="J10" s="3" t="s">
        <v>655</v>
      </c>
      <c r="K10" s="3" t="s">
        <v>653</v>
      </c>
      <c r="L10" s="3" t="s">
        <v>569</v>
      </c>
      <c r="M10" s="3" t="s">
        <v>46</v>
      </c>
      <c r="N10" s="3" t="s">
        <v>47</v>
      </c>
      <c r="O10" s="3" t="s">
        <v>48</v>
      </c>
      <c r="P10" s="3" t="s">
        <v>570</v>
      </c>
      <c r="Q10" s="3" t="s">
        <v>571</v>
      </c>
      <c r="R10" s="3" t="s">
        <v>50</v>
      </c>
      <c r="S10" s="3" t="s">
        <v>572</v>
      </c>
      <c r="T10" s="3" t="s">
        <v>49</v>
      </c>
      <c r="U10" s="3" t="s">
        <v>569</v>
      </c>
      <c r="V10" s="3" t="s">
        <v>54</v>
      </c>
      <c r="W10" s="3" t="s">
        <v>68</v>
      </c>
      <c r="X10" s="3" t="s">
        <v>68</v>
      </c>
      <c r="Y10" s="3" t="s">
        <v>70</v>
      </c>
      <c r="Z10" s="3" t="s">
        <v>89</v>
      </c>
      <c r="AA10" s="3" t="s">
        <v>88</v>
      </c>
      <c r="AB10" s="3" t="s">
        <v>69</v>
      </c>
      <c r="AC10" s="3" t="s">
        <v>573</v>
      </c>
      <c r="AD10" s="3" t="s">
        <v>573</v>
      </c>
      <c r="AE10" s="3" t="s">
        <v>656</v>
      </c>
      <c r="AF10" s="3" t="s">
        <v>657</v>
      </c>
      <c r="AG10" s="3" t="s">
        <v>658</v>
      </c>
      <c r="AH10" s="3" t="s">
        <v>659</v>
      </c>
      <c r="AI10" s="3" t="s">
        <v>581</v>
      </c>
      <c r="AJ10" s="3" t="s">
        <v>564</v>
      </c>
      <c r="AK10" s="3" t="s">
        <v>564</v>
      </c>
      <c r="AL10" s="3" t="s">
        <v>589</v>
      </c>
      <c r="AM10" s="3" t="s">
        <v>667</v>
      </c>
      <c r="AN10" s="3" t="s">
        <v>306</v>
      </c>
      <c r="AO10" s="3" t="s">
        <v>311</v>
      </c>
      <c r="AP10" s="3" t="s">
        <v>648</v>
      </c>
      <c r="AQ10" s="3" t="s">
        <v>648</v>
      </c>
      <c r="AR10" s="3" t="s">
        <v>360</v>
      </c>
      <c r="AS10" s="3" t="s">
        <v>581</v>
      </c>
      <c r="AT10" s="3" t="s">
        <v>569</v>
      </c>
      <c r="AU10" s="3" t="s">
        <v>316</v>
      </c>
      <c r="AV10" s="3" t="s">
        <v>582</v>
      </c>
      <c r="AW10" s="3" t="s">
        <v>583</v>
      </c>
      <c r="AX10" s="3" t="s">
        <v>57</v>
      </c>
      <c r="AY10" s="3" t="s">
        <v>57</v>
      </c>
      <c r="BB10" s="3" t="s">
        <v>583</v>
      </c>
      <c r="BC10" s="3" t="s">
        <v>308</v>
      </c>
      <c r="BD10" s="3" t="s">
        <v>335</v>
      </c>
      <c r="BE10" s="3" t="s">
        <v>584</v>
      </c>
      <c r="BF10" s="3" t="s">
        <v>583</v>
      </c>
      <c r="BG10" s="3" t="s">
        <v>57</v>
      </c>
      <c r="BH10" s="3" t="s">
        <v>57</v>
      </c>
      <c r="BI10" s="3" t="s">
        <v>57</v>
      </c>
      <c r="BJ10" s="3" t="s">
        <v>57</v>
      </c>
      <c r="BK10" s="3" t="s">
        <v>57</v>
      </c>
      <c r="BL10" s="3" t="s">
        <v>57</v>
      </c>
      <c r="BM10" s="3" t="s">
        <v>57</v>
      </c>
      <c r="BN10" s="3" t="s">
        <v>57</v>
      </c>
      <c r="BO10" s="3" t="s">
        <v>57</v>
      </c>
      <c r="BP10" s="3" t="s">
        <v>665</v>
      </c>
      <c r="BQ10" s="3" t="s">
        <v>511</v>
      </c>
      <c r="BR10" s="3" t="s">
        <v>586</v>
      </c>
      <c r="BS10" s="3" t="s">
        <v>525</v>
      </c>
      <c r="BT10" s="3" t="s">
        <v>526</v>
      </c>
      <c r="BU10" s="3" t="s">
        <v>666</v>
      </c>
      <c r="BX10" s="3" t="s">
        <v>666</v>
      </c>
      <c r="BY10" s="3" t="s">
        <v>573</v>
      </c>
      <c r="CB10" s="3" t="s">
        <v>71</v>
      </c>
      <c r="CD10" s="3" t="s">
        <v>527</v>
      </c>
      <c r="CE10" s="3" t="s">
        <v>528</v>
      </c>
      <c r="CF10" s="3" t="s">
        <v>529</v>
      </c>
      <c r="CH10" s="3" t="s">
        <v>573</v>
      </c>
      <c r="CI10" s="3" t="s">
        <v>530</v>
      </c>
      <c r="CJ10" s="3" t="s">
        <v>57</v>
      </c>
      <c r="CK10" s="3" t="s">
        <v>659</v>
      </c>
      <c r="CL10" s="3" t="s">
        <v>584</v>
      </c>
      <c r="CM10" s="3" t="s">
        <v>659</v>
      </c>
    </row>
    <row r="11" spans="1:91" x14ac:dyDescent="0.25">
      <c r="A11" s="3" t="s">
        <v>651</v>
      </c>
      <c r="B11" s="3" t="s">
        <v>652</v>
      </c>
      <c r="C11" s="3" t="s">
        <v>254</v>
      </c>
      <c r="D11" s="3" t="s">
        <v>562</v>
      </c>
      <c r="E11" s="3" t="s">
        <v>563</v>
      </c>
      <c r="F11" s="3" t="s">
        <v>564</v>
      </c>
      <c r="G11" s="3" t="s">
        <v>565</v>
      </c>
      <c r="H11" s="3" t="s">
        <v>653</v>
      </c>
      <c r="I11" s="3" t="s">
        <v>654</v>
      </c>
      <c r="J11" s="3" t="s">
        <v>655</v>
      </c>
      <c r="K11" s="3" t="s">
        <v>653</v>
      </c>
      <c r="L11" s="3" t="s">
        <v>569</v>
      </c>
      <c r="M11" s="3" t="s">
        <v>46</v>
      </c>
      <c r="N11" s="3" t="s">
        <v>47</v>
      </c>
      <c r="O11" s="3" t="s">
        <v>48</v>
      </c>
      <c r="P11" s="3" t="s">
        <v>570</v>
      </c>
      <c r="Q11" s="3" t="s">
        <v>571</v>
      </c>
      <c r="R11" s="3" t="s">
        <v>50</v>
      </c>
      <c r="S11" s="3" t="s">
        <v>572</v>
      </c>
      <c r="T11" s="3" t="s">
        <v>49</v>
      </c>
      <c r="U11" s="3" t="s">
        <v>569</v>
      </c>
      <c r="V11" s="3" t="s">
        <v>54</v>
      </c>
      <c r="W11" s="3" t="s">
        <v>68</v>
      </c>
      <c r="X11" s="3" t="s">
        <v>68</v>
      </c>
      <c r="Y11" s="3" t="s">
        <v>70</v>
      </c>
      <c r="Z11" s="3" t="s">
        <v>89</v>
      </c>
      <c r="AA11" s="3" t="s">
        <v>88</v>
      </c>
      <c r="AB11" s="3" t="s">
        <v>69</v>
      </c>
      <c r="AC11" s="3" t="s">
        <v>573</v>
      </c>
      <c r="AD11" s="3" t="s">
        <v>573</v>
      </c>
      <c r="AE11" s="3" t="s">
        <v>656</v>
      </c>
      <c r="AF11" s="3" t="s">
        <v>657</v>
      </c>
      <c r="AG11" s="3" t="s">
        <v>658</v>
      </c>
      <c r="AH11" s="3" t="s">
        <v>659</v>
      </c>
      <c r="AI11" s="3" t="s">
        <v>668</v>
      </c>
      <c r="AJ11" s="3" t="s">
        <v>610</v>
      </c>
      <c r="AK11" s="3" t="s">
        <v>610</v>
      </c>
      <c r="AL11" s="3" t="s">
        <v>669</v>
      </c>
      <c r="AM11" s="3" t="s">
        <v>670</v>
      </c>
      <c r="AN11" s="3" t="s">
        <v>306</v>
      </c>
      <c r="AO11" s="3" t="s">
        <v>311</v>
      </c>
      <c r="AP11" s="3" t="s">
        <v>671</v>
      </c>
      <c r="AQ11" s="3" t="s">
        <v>671</v>
      </c>
      <c r="AR11" s="3" t="s">
        <v>364</v>
      </c>
      <c r="AS11" s="3" t="s">
        <v>626</v>
      </c>
      <c r="AT11" s="3" t="s">
        <v>569</v>
      </c>
      <c r="AU11" s="3" t="s">
        <v>310</v>
      </c>
      <c r="AV11" s="3" t="s">
        <v>672</v>
      </c>
      <c r="AW11" s="3" t="s">
        <v>673</v>
      </c>
      <c r="AX11" s="3" t="s">
        <v>57</v>
      </c>
      <c r="AY11" s="3" t="s">
        <v>57</v>
      </c>
      <c r="BB11" s="3" t="s">
        <v>674</v>
      </c>
      <c r="BC11" s="3" t="s">
        <v>314</v>
      </c>
      <c r="BD11" s="3" t="s">
        <v>315</v>
      </c>
      <c r="BE11" s="3" t="s">
        <v>675</v>
      </c>
      <c r="BF11" s="3" t="s">
        <v>676</v>
      </c>
      <c r="BG11" s="3" t="s">
        <v>57</v>
      </c>
      <c r="BH11" s="3" t="s">
        <v>57</v>
      </c>
      <c r="BI11" s="3" t="s">
        <v>57</v>
      </c>
      <c r="BJ11" s="3" t="s">
        <v>57</v>
      </c>
      <c r="BK11" s="3" t="s">
        <v>57</v>
      </c>
      <c r="BL11" s="3" t="s">
        <v>57</v>
      </c>
      <c r="BM11" s="3" t="s">
        <v>57</v>
      </c>
      <c r="BN11" s="3" t="s">
        <v>57</v>
      </c>
      <c r="BO11" s="3" t="s">
        <v>57</v>
      </c>
      <c r="BP11" s="3" t="s">
        <v>665</v>
      </c>
      <c r="BQ11" s="3" t="s">
        <v>511</v>
      </c>
      <c r="BR11" s="3" t="s">
        <v>586</v>
      </c>
      <c r="BS11" s="3" t="s">
        <v>525</v>
      </c>
      <c r="BT11" s="3" t="s">
        <v>526</v>
      </c>
      <c r="BU11" s="3" t="s">
        <v>666</v>
      </c>
      <c r="BX11" s="3" t="s">
        <v>666</v>
      </c>
      <c r="BY11" s="3" t="s">
        <v>573</v>
      </c>
      <c r="CB11" s="3" t="s">
        <v>71</v>
      </c>
      <c r="CD11" s="3" t="s">
        <v>527</v>
      </c>
      <c r="CE11" s="3" t="s">
        <v>528</v>
      </c>
      <c r="CF11" s="3" t="s">
        <v>529</v>
      </c>
      <c r="CH11" s="3" t="s">
        <v>573</v>
      </c>
      <c r="CI11" s="3" t="s">
        <v>530</v>
      </c>
      <c r="CJ11" s="3" t="s">
        <v>57</v>
      </c>
      <c r="CK11" s="3" t="s">
        <v>659</v>
      </c>
      <c r="CL11" s="3" t="s">
        <v>584</v>
      </c>
      <c r="CM11" s="3" t="s">
        <v>659</v>
      </c>
    </row>
    <row r="12" spans="1:91" x14ac:dyDescent="0.25">
      <c r="A12" s="3" t="s">
        <v>651</v>
      </c>
      <c r="B12" s="3" t="s">
        <v>652</v>
      </c>
      <c r="C12" s="3" t="s">
        <v>254</v>
      </c>
      <c r="D12" s="3" t="s">
        <v>562</v>
      </c>
      <c r="E12" s="3" t="s">
        <v>563</v>
      </c>
      <c r="F12" s="3" t="s">
        <v>564</v>
      </c>
      <c r="G12" s="3" t="s">
        <v>565</v>
      </c>
      <c r="H12" s="3" t="s">
        <v>653</v>
      </c>
      <c r="I12" s="3" t="s">
        <v>654</v>
      </c>
      <c r="J12" s="3" t="s">
        <v>655</v>
      </c>
      <c r="K12" s="3" t="s">
        <v>653</v>
      </c>
      <c r="L12" s="3" t="s">
        <v>569</v>
      </c>
      <c r="M12" s="3" t="s">
        <v>46</v>
      </c>
      <c r="N12" s="3" t="s">
        <v>47</v>
      </c>
      <c r="O12" s="3" t="s">
        <v>48</v>
      </c>
      <c r="P12" s="3" t="s">
        <v>570</v>
      </c>
      <c r="Q12" s="3" t="s">
        <v>571</v>
      </c>
      <c r="R12" s="3" t="s">
        <v>50</v>
      </c>
      <c r="S12" s="3" t="s">
        <v>572</v>
      </c>
      <c r="T12" s="3" t="s">
        <v>49</v>
      </c>
      <c r="U12" s="3" t="s">
        <v>569</v>
      </c>
      <c r="V12" s="3" t="s">
        <v>54</v>
      </c>
      <c r="W12" s="3" t="s">
        <v>68</v>
      </c>
      <c r="X12" s="3" t="s">
        <v>68</v>
      </c>
      <c r="Y12" s="3" t="s">
        <v>70</v>
      </c>
      <c r="Z12" s="3" t="s">
        <v>89</v>
      </c>
      <c r="AA12" s="3" t="s">
        <v>88</v>
      </c>
      <c r="AB12" s="3" t="s">
        <v>69</v>
      </c>
      <c r="AC12" s="3" t="s">
        <v>573</v>
      </c>
      <c r="AD12" s="3" t="s">
        <v>573</v>
      </c>
      <c r="AE12" s="3" t="s">
        <v>656</v>
      </c>
      <c r="AF12" s="3" t="s">
        <v>657</v>
      </c>
      <c r="AG12" s="3" t="s">
        <v>658</v>
      </c>
      <c r="AH12" s="3" t="s">
        <v>659</v>
      </c>
      <c r="AI12" s="3" t="s">
        <v>677</v>
      </c>
      <c r="AJ12" s="3" t="s">
        <v>678</v>
      </c>
      <c r="AK12" s="3" t="s">
        <v>678</v>
      </c>
      <c r="AL12" s="3" t="s">
        <v>579</v>
      </c>
      <c r="AM12" s="3" t="s">
        <v>588</v>
      </c>
      <c r="AN12" s="3" t="s">
        <v>306</v>
      </c>
      <c r="AO12" s="3" t="s">
        <v>311</v>
      </c>
      <c r="AP12" s="3" t="s">
        <v>679</v>
      </c>
      <c r="AQ12" s="3" t="s">
        <v>679</v>
      </c>
      <c r="AR12" s="3" t="s">
        <v>328</v>
      </c>
      <c r="AS12" s="3" t="s">
        <v>571</v>
      </c>
      <c r="AT12" s="3" t="s">
        <v>569</v>
      </c>
      <c r="AU12" s="3" t="s">
        <v>310</v>
      </c>
      <c r="AV12" s="3" t="s">
        <v>680</v>
      </c>
      <c r="AW12" s="3" t="s">
        <v>681</v>
      </c>
      <c r="AX12" s="3" t="s">
        <v>57</v>
      </c>
      <c r="AY12" s="3" t="s">
        <v>57</v>
      </c>
      <c r="BB12" s="3" t="s">
        <v>682</v>
      </c>
      <c r="BC12" s="3" t="s">
        <v>314</v>
      </c>
      <c r="BD12" s="3" t="s">
        <v>315</v>
      </c>
      <c r="BE12" s="3" t="s">
        <v>683</v>
      </c>
      <c r="BF12" s="3" t="s">
        <v>684</v>
      </c>
      <c r="BG12" s="3" t="s">
        <v>57</v>
      </c>
      <c r="BH12" s="3" t="s">
        <v>57</v>
      </c>
      <c r="BI12" s="3" t="s">
        <v>57</v>
      </c>
      <c r="BJ12" s="3" t="s">
        <v>57</v>
      </c>
      <c r="BK12" s="3" t="s">
        <v>57</v>
      </c>
      <c r="BL12" s="3" t="s">
        <v>57</v>
      </c>
      <c r="BM12" s="3" t="s">
        <v>57</v>
      </c>
      <c r="BN12" s="3" t="s">
        <v>57</v>
      </c>
      <c r="BO12" s="3" t="s">
        <v>57</v>
      </c>
      <c r="BP12" s="3" t="s">
        <v>665</v>
      </c>
      <c r="BQ12" s="3" t="s">
        <v>511</v>
      </c>
      <c r="BR12" s="3" t="s">
        <v>586</v>
      </c>
      <c r="BS12" s="3" t="s">
        <v>525</v>
      </c>
      <c r="BT12" s="3" t="s">
        <v>526</v>
      </c>
      <c r="BU12" s="3" t="s">
        <v>666</v>
      </c>
      <c r="BX12" s="3" t="s">
        <v>666</v>
      </c>
      <c r="BY12" s="3" t="s">
        <v>573</v>
      </c>
      <c r="CB12" s="3" t="s">
        <v>71</v>
      </c>
      <c r="CD12" s="3" t="s">
        <v>527</v>
      </c>
      <c r="CE12" s="3" t="s">
        <v>528</v>
      </c>
      <c r="CF12" s="3" t="s">
        <v>529</v>
      </c>
      <c r="CH12" s="3" t="s">
        <v>573</v>
      </c>
      <c r="CI12" s="3" t="s">
        <v>530</v>
      </c>
      <c r="CJ12" s="3" t="s">
        <v>57</v>
      </c>
      <c r="CK12" s="3" t="s">
        <v>659</v>
      </c>
      <c r="CL12" s="3" t="s">
        <v>584</v>
      </c>
      <c r="CM12" s="3" t="s">
        <v>659</v>
      </c>
    </row>
    <row r="13" spans="1:91" x14ac:dyDescent="0.25">
      <c r="A13" s="3" t="s">
        <v>685</v>
      </c>
      <c r="B13" s="3" t="s">
        <v>686</v>
      </c>
      <c r="C13" s="3" t="s">
        <v>263</v>
      </c>
      <c r="D13" s="3" t="s">
        <v>562</v>
      </c>
      <c r="E13" s="3" t="s">
        <v>563</v>
      </c>
      <c r="F13" s="3" t="s">
        <v>564</v>
      </c>
      <c r="G13" s="3" t="s">
        <v>565</v>
      </c>
      <c r="H13" s="3" t="s">
        <v>687</v>
      </c>
      <c r="I13" s="3" t="s">
        <v>688</v>
      </c>
      <c r="J13" s="3" t="s">
        <v>689</v>
      </c>
      <c r="K13" s="3" t="s">
        <v>687</v>
      </c>
      <c r="L13" s="3" t="s">
        <v>569</v>
      </c>
      <c r="M13" s="3" t="s">
        <v>46</v>
      </c>
      <c r="N13" s="3" t="s">
        <v>47</v>
      </c>
      <c r="O13" s="3" t="s">
        <v>48</v>
      </c>
      <c r="P13" s="3" t="s">
        <v>570</v>
      </c>
      <c r="Q13" s="3" t="s">
        <v>571</v>
      </c>
      <c r="R13" s="3" t="s">
        <v>50</v>
      </c>
      <c r="S13" s="3" t="s">
        <v>572</v>
      </c>
      <c r="T13" s="3" t="s">
        <v>49</v>
      </c>
      <c r="U13" s="3" t="s">
        <v>569</v>
      </c>
      <c r="V13" s="3" t="s">
        <v>54</v>
      </c>
      <c r="W13" s="3" t="s">
        <v>187</v>
      </c>
      <c r="X13" s="3" t="s">
        <v>187</v>
      </c>
      <c r="Y13" s="3" t="s">
        <v>70</v>
      </c>
      <c r="Z13" s="3" t="s">
        <v>89</v>
      </c>
      <c r="AA13" s="3" t="s">
        <v>88</v>
      </c>
      <c r="AB13" s="3" t="s">
        <v>69</v>
      </c>
      <c r="AC13" s="3" t="s">
        <v>573</v>
      </c>
      <c r="AD13" s="3" t="s">
        <v>573</v>
      </c>
      <c r="AE13" s="3" t="s">
        <v>690</v>
      </c>
      <c r="AF13" s="3" t="s">
        <v>691</v>
      </c>
      <c r="AG13" s="3" t="s">
        <v>692</v>
      </c>
      <c r="AH13" s="3" t="s">
        <v>693</v>
      </c>
      <c r="AI13" s="3" t="s">
        <v>694</v>
      </c>
      <c r="AJ13" s="3" t="s">
        <v>565</v>
      </c>
      <c r="AK13" s="3" t="s">
        <v>565</v>
      </c>
      <c r="AL13" s="3" t="s">
        <v>573</v>
      </c>
      <c r="AM13" s="3" t="s">
        <v>661</v>
      </c>
      <c r="AN13" s="3" t="s">
        <v>190</v>
      </c>
      <c r="AO13" s="3" t="s">
        <v>311</v>
      </c>
      <c r="AP13" s="3" t="s">
        <v>591</v>
      </c>
      <c r="AQ13" s="3" t="s">
        <v>591</v>
      </c>
      <c r="AR13" s="3" t="s">
        <v>352</v>
      </c>
      <c r="AS13" s="3" t="s">
        <v>571</v>
      </c>
      <c r="AT13" s="3" t="s">
        <v>569</v>
      </c>
      <c r="AU13" s="3" t="s">
        <v>310</v>
      </c>
      <c r="AV13" s="3" t="s">
        <v>607</v>
      </c>
      <c r="AW13" s="3" t="s">
        <v>662</v>
      </c>
      <c r="AX13" s="3" t="s">
        <v>57</v>
      </c>
      <c r="AY13" s="3" t="s">
        <v>57</v>
      </c>
      <c r="BB13" s="3" t="s">
        <v>695</v>
      </c>
      <c r="BC13" s="3" t="s">
        <v>314</v>
      </c>
      <c r="BD13" s="3" t="s">
        <v>315</v>
      </c>
      <c r="BE13" s="3" t="s">
        <v>696</v>
      </c>
      <c r="BF13" s="3" t="s">
        <v>697</v>
      </c>
      <c r="BG13" s="3" t="s">
        <v>571</v>
      </c>
      <c r="BH13" s="3" t="s">
        <v>569</v>
      </c>
      <c r="BI13" s="3" t="s">
        <v>656</v>
      </c>
      <c r="BJ13" s="3" t="s">
        <v>653</v>
      </c>
      <c r="BK13" s="3" t="s">
        <v>47</v>
      </c>
      <c r="BL13" s="3" t="s">
        <v>657</v>
      </c>
      <c r="BM13" s="3" t="s">
        <v>653</v>
      </c>
      <c r="BN13" s="3" t="s">
        <v>68</v>
      </c>
      <c r="BO13" s="3" t="s">
        <v>573</v>
      </c>
      <c r="BP13" s="3" t="s">
        <v>665</v>
      </c>
      <c r="BQ13" s="3" t="s">
        <v>511</v>
      </c>
      <c r="BR13" s="3" t="s">
        <v>586</v>
      </c>
      <c r="BS13" s="3" t="s">
        <v>525</v>
      </c>
      <c r="BT13" s="3" t="s">
        <v>526</v>
      </c>
      <c r="BU13" s="3" t="s">
        <v>666</v>
      </c>
      <c r="BX13" s="3" t="s">
        <v>666</v>
      </c>
      <c r="BY13" s="3" t="s">
        <v>573</v>
      </c>
      <c r="CB13" s="3" t="s">
        <v>71</v>
      </c>
      <c r="CD13" s="3" t="s">
        <v>527</v>
      </c>
      <c r="CE13" s="3" t="s">
        <v>528</v>
      </c>
      <c r="CF13" s="3" t="s">
        <v>529</v>
      </c>
      <c r="CH13" s="3" t="s">
        <v>573</v>
      </c>
      <c r="CI13" s="3" t="s">
        <v>531</v>
      </c>
      <c r="CJ13" s="3" t="s">
        <v>57</v>
      </c>
      <c r="CK13" s="3" t="s">
        <v>698</v>
      </c>
      <c r="CL13" s="3" t="s">
        <v>584</v>
      </c>
      <c r="CM13" s="3" t="s">
        <v>698</v>
      </c>
    </row>
    <row r="14" spans="1:91" x14ac:dyDescent="0.25">
      <c r="A14" s="3" t="s">
        <v>685</v>
      </c>
      <c r="B14" s="3" t="s">
        <v>686</v>
      </c>
      <c r="C14" s="3" t="s">
        <v>263</v>
      </c>
      <c r="D14" s="3" t="s">
        <v>562</v>
      </c>
      <c r="E14" s="3" t="s">
        <v>563</v>
      </c>
      <c r="F14" s="3" t="s">
        <v>564</v>
      </c>
      <c r="G14" s="3" t="s">
        <v>565</v>
      </c>
      <c r="H14" s="3" t="s">
        <v>687</v>
      </c>
      <c r="I14" s="3" t="s">
        <v>688</v>
      </c>
      <c r="J14" s="3" t="s">
        <v>689</v>
      </c>
      <c r="K14" s="3" t="s">
        <v>687</v>
      </c>
      <c r="L14" s="3" t="s">
        <v>569</v>
      </c>
      <c r="M14" s="3" t="s">
        <v>46</v>
      </c>
      <c r="N14" s="3" t="s">
        <v>47</v>
      </c>
      <c r="O14" s="3" t="s">
        <v>48</v>
      </c>
      <c r="P14" s="3" t="s">
        <v>570</v>
      </c>
      <c r="Q14" s="3" t="s">
        <v>571</v>
      </c>
      <c r="R14" s="3" t="s">
        <v>50</v>
      </c>
      <c r="S14" s="3" t="s">
        <v>572</v>
      </c>
      <c r="T14" s="3" t="s">
        <v>49</v>
      </c>
      <c r="U14" s="3" t="s">
        <v>569</v>
      </c>
      <c r="V14" s="3" t="s">
        <v>54</v>
      </c>
      <c r="W14" s="3" t="s">
        <v>187</v>
      </c>
      <c r="X14" s="3" t="s">
        <v>187</v>
      </c>
      <c r="Y14" s="3" t="s">
        <v>70</v>
      </c>
      <c r="Z14" s="3" t="s">
        <v>89</v>
      </c>
      <c r="AA14" s="3" t="s">
        <v>88</v>
      </c>
      <c r="AB14" s="3" t="s">
        <v>69</v>
      </c>
      <c r="AC14" s="3" t="s">
        <v>573</v>
      </c>
      <c r="AD14" s="3" t="s">
        <v>573</v>
      </c>
      <c r="AE14" s="3" t="s">
        <v>690</v>
      </c>
      <c r="AF14" s="3" t="s">
        <v>691</v>
      </c>
      <c r="AG14" s="3" t="s">
        <v>692</v>
      </c>
      <c r="AH14" s="3" t="s">
        <v>693</v>
      </c>
      <c r="AI14" s="3" t="s">
        <v>587</v>
      </c>
      <c r="AJ14" s="3" t="s">
        <v>564</v>
      </c>
      <c r="AK14" s="3" t="s">
        <v>564</v>
      </c>
      <c r="AL14" s="3" t="s">
        <v>589</v>
      </c>
      <c r="AM14" s="3" t="s">
        <v>667</v>
      </c>
      <c r="AN14" s="3" t="s">
        <v>190</v>
      </c>
      <c r="AO14" s="3" t="s">
        <v>311</v>
      </c>
      <c r="AP14" s="3" t="s">
        <v>648</v>
      </c>
      <c r="AQ14" s="3" t="s">
        <v>648</v>
      </c>
      <c r="AR14" s="3" t="s">
        <v>360</v>
      </c>
      <c r="AS14" s="3" t="s">
        <v>581</v>
      </c>
      <c r="AT14" s="3" t="s">
        <v>569</v>
      </c>
      <c r="AU14" s="3" t="s">
        <v>316</v>
      </c>
      <c r="AV14" s="3" t="s">
        <v>607</v>
      </c>
      <c r="AW14" s="3" t="s">
        <v>583</v>
      </c>
      <c r="AX14" s="3" t="s">
        <v>57</v>
      </c>
      <c r="AY14" s="3" t="s">
        <v>57</v>
      </c>
      <c r="BB14" s="3" t="s">
        <v>608</v>
      </c>
      <c r="BC14" s="3" t="s">
        <v>308</v>
      </c>
      <c r="BD14" s="3" t="s">
        <v>335</v>
      </c>
      <c r="BE14" s="3" t="s">
        <v>584</v>
      </c>
      <c r="BF14" s="3" t="s">
        <v>608</v>
      </c>
      <c r="BG14" s="3" t="s">
        <v>571</v>
      </c>
      <c r="BH14" s="3" t="s">
        <v>569</v>
      </c>
      <c r="BI14" s="3" t="s">
        <v>656</v>
      </c>
      <c r="BJ14" s="3" t="s">
        <v>653</v>
      </c>
      <c r="BK14" s="3" t="s">
        <v>47</v>
      </c>
      <c r="BL14" s="3" t="s">
        <v>657</v>
      </c>
      <c r="BM14" s="3" t="s">
        <v>653</v>
      </c>
      <c r="BN14" s="3" t="s">
        <v>68</v>
      </c>
      <c r="BO14" s="3" t="s">
        <v>573</v>
      </c>
      <c r="BP14" s="3" t="s">
        <v>665</v>
      </c>
      <c r="BQ14" s="3" t="s">
        <v>511</v>
      </c>
      <c r="BR14" s="3" t="s">
        <v>586</v>
      </c>
      <c r="BS14" s="3" t="s">
        <v>525</v>
      </c>
      <c r="BT14" s="3" t="s">
        <v>526</v>
      </c>
      <c r="BU14" s="3" t="s">
        <v>666</v>
      </c>
      <c r="BX14" s="3" t="s">
        <v>666</v>
      </c>
      <c r="BY14" s="3" t="s">
        <v>573</v>
      </c>
      <c r="CB14" s="3" t="s">
        <v>71</v>
      </c>
      <c r="CD14" s="3" t="s">
        <v>527</v>
      </c>
      <c r="CE14" s="3" t="s">
        <v>528</v>
      </c>
      <c r="CF14" s="3" t="s">
        <v>529</v>
      </c>
      <c r="CH14" s="3" t="s">
        <v>573</v>
      </c>
      <c r="CI14" s="3" t="s">
        <v>531</v>
      </c>
      <c r="CJ14" s="3" t="s">
        <v>57</v>
      </c>
      <c r="CK14" s="3" t="s">
        <v>698</v>
      </c>
      <c r="CL14" s="3" t="s">
        <v>584</v>
      </c>
      <c r="CM14" s="3" t="s">
        <v>698</v>
      </c>
    </row>
    <row r="15" spans="1:91" x14ac:dyDescent="0.25">
      <c r="A15" s="3" t="s">
        <v>609</v>
      </c>
      <c r="B15" s="3" t="s">
        <v>699</v>
      </c>
      <c r="C15" s="3" t="s">
        <v>125</v>
      </c>
      <c r="D15" s="3" t="s">
        <v>700</v>
      </c>
      <c r="E15" s="3" t="s">
        <v>563</v>
      </c>
      <c r="F15" s="3" t="s">
        <v>564</v>
      </c>
      <c r="G15" s="3" t="s">
        <v>589</v>
      </c>
      <c r="H15" s="3" t="s">
        <v>701</v>
      </c>
      <c r="I15" s="3" t="s">
        <v>702</v>
      </c>
      <c r="J15" s="3" t="s">
        <v>703</v>
      </c>
      <c r="K15" s="3" t="s">
        <v>701</v>
      </c>
      <c r="L15" s="3" t="s">
        <v>569</v>
      </c>
      <c r="M15" s="3" t="s">
        <v>46</v>
      </c>
      <c r="N15" s="3" t="s">
        <v>47</v>
      </c>
      <c r="O15" s="3" t="s">
        <v>48</v>
      </c>
      <c r="P15" s="3" t="s">
        <v>570</v>
      </c>
      <c r="Q15" s="3" t="s">
        <v>571</v>
      </c>
      <c r="R15" s="3" t="s">
        <v>50</v>
      </c>
      <c r="S15" s="3" t="s">
        <v>572</v>
      </c>
      <c r="T15" s="3" t="s">
        <v>49</v>
      </c>
      <c r="U15" s="3" t="s">
        <v>569</v>
      </c>
      <c r="V15" s="3" t="s">
        <v>54</v>
      </c>
      <c r="W15" s="3" t="s">
        <v>68</v>
      </c>
      <c r="X15" s="3" t="s">
        <v>68</v>
      </c>
      <c r="Y15" s="3" t="s">
        <v>70</v>
      </c>
      <c r="Z15" s="3" t="s">
        <v>67</v>
      </c>
      <c r="AA15" s="3" t="s">
        <v>66</v>
      </c>
      <c r="AB15" s="3" t="s">
        <v>69</v>
      </c>
      <c r="AC15" s="3" t="s">
        <v>573</v>
      </c>
      <c r="AD15" s="3" t="s">
        <v>573</v>
      </c>
      <c r="AE15" s="3" t="s">
        <v>704</v>
      </c>
      <c r="AF15" s="3" t="s">
        <v>705</v>
      </c>
      <c r="AG15" s="3" t="s">
        <v>706</v>
      </c>
      <c r="AH15" s="3" t="s">
        <v>706</v>
      </c>
      <c r="AI15" s="3" t="s">
        <v>565</v>
      </c>
      <c r="AJ15" s="3" t="s">
        <v>579</v>
      </c>
      <c r="AK15" s="3" t="s">
        <v>579</v>
      </c>
      <c r="AL15" s="3" t="s">
        <v>573</v>
      </c>
      <c r="AM15" s="3" t="s">
        <v>564</v>
      </c>
      <c r="AN15" s="3" t="s">
        <v>306</v>
      </c>
      <c r="AO15" s="3" t="s">
        <v>311</v>
      </c>
      <c r="AP15" s="3" t="s">
        <v>707</v>
      </c>
      <c r="AQ15" s="3" t="s">
        <v>707</v>
      </c>
      <c r="AR15" s="3" t="s">
        <v>323</v>
      </c>
      <c r="AS15" s="3" t="s">
        <v>571</v>
      </c>
      <c r="AT15" s="3" t="s">
        <v>569</v>
      </c>
      <c r="AU15" s="3" t="s">
        <v>310</v>
      </c>
      <c r="AV15" s="3" t="s">
        <v>582</v>
      </c>
      <c r="AW15" s="3" t="s">
        <v>708</v>
      </c>
      <c r="AX15" s="3" t="s">
        <v>57</v>
      </c>
      <c r="AY15" s="3" t="s">
        <v>57</v>
      </c>
      <c r="BB15" s="3" t="s">
        <v>708</v>
      </c>
      <c r="BC15" s="3" t="s">
        <v>308</v>
      </c>
      <c r="BD15" s="3" t="s">
        <v>309</v>
      </c>
      <c r="BE15" s="3" t="s">
        <v>584</v>
      </c>
      <c r="BF15" s="3" t="s">
        <v>708</v>
      </c>
      <c r="BG15" s="3" t="s">
        <v>57</v>
      </c>
      <c r="BH15" s="3" t="s">
        <v>57</v>
      </c>
      <c r="BI15" s="3" t="s">
        <v>57</v>
      </c>
      <c r="BJ15" s="3" t="s">
        <v>57</v>
      </c>
      <c r="BK15" s="3" t="s">
        <v>57</v>
      </c>
      <c r="BL15" s="3" t="s">
        <v>57</v>
      </c>
      <c r="BM15" s="3" t="s">
        <v>57</v>
      </c>
      <c r="BN15" s="3" t="s">
        <v>57</v>
      </c>
      <c r="BO15" s="3" t="s">
        <v>57</v>
      </c>
      <c r="BP15" s="3" t="s">
        <v>709</v>
      </c>
      <c r="BQ15" s="3" t="s">
        <v>511</v>
      </c>
      <c r="BR15" s="3" t="s">
        <v>586</v>
      </c>
      <c r="BS15" s="3" t="s">
        <v>525</v>
      </c>
      <c r="BT15" s="3" t="s">
        <v>526</v>
      </c>
      <c r="BU15" s="3" t="s">
        <v>571</v>
      </c>
      <c r="BX15" s="3" t="s">
        <v>571</v>
      </c>
      <c r="BY15" s="3" t="s">
        <v>573</v>
      </c>
      <c r="BZ15" s="3" t="s">
        <v>532</v>
      </c>
      <c r="CA15" s="3" t="s">
        <v>710</v>
      </c>
      <c r="CB15" s="3" t="s">
        <v>71</v>
      </c>
      <c r="CC15" s="3" t="s">
        <v>533</v>
      </c>
      <c r="CD15" s="3" t="s">
        <v>527</v>
      </c>
      <c r="CE15" s="3" t="s">
        <v>528</v>
      </c>
      <c r="CF15" s="3" t="s">
        <v>529</v>
      </c>
      <c r="CH15" s="3" t="s">
        <v>573</v>
      </c>
      <c r="CI15" s="3" t="s">
        <v>534</v>
      </c>
      <c r="CJ15" s="3" t="s">
        <v>57</v>
      </c>
      <c r="CK15" s="3" t="s">
        <v>706</v>
      </c>
      <c r="CL15" s="3" t="s">
        <v>584</v>
      </c>
      <c r="CM15" s="3" t="s">
        <v>706</v>
      </c>
    </row>
    <row r="16" spans="1:91" x14ac:dyDescent="0.25">
      <c r="A16" s="3" t="s">
        <v>609</v>
      </c>
      <c r="B16" s="3" t="s">
        <v>699</v>
      </c>
      <c r="C16" s="3" t="s">
        <v>125</v>
      </c>
      <c r="D16" s="3" t="s">
        <v>700</v>
      </c>
      <c r="E16" s="3" t="s">
        <v>563</v>
      </c>
      <c r="F16" s="3" t="s">
        <v>564</v>
      </c>
      <c r="G16" s="3" t="s">
        <v>589</v>
      </c>
      <c r="H16" s="3" t="s">
        <v>701</v>
      </c>
      <c r="I16" s="3" t="s">
        <v>702</v>
      </c>
      <c r="J16" s="3" t="s">
        <v>703</v>
      </c>
      <c r="K16" s="3" t="s">
        <v>701</v>
      </c>
      <c r="L16" s="3" t="s">
        <v>569</v>
      </c>
      <c r="M16" s="3" t="s">
        <v>46</v>
      </c>
      <c r="N16" s="3" t="s">
        <v>47</v>
      </c>
      <c r="O16" s="3" t="s">
        <v>48</v>
      </c>
      <c r="P16" s="3" t="s">
        <v>570</v>
      </c>
      <c r="Q16" s="3" t="s">
        <v>571</v>
      </c>
      <c r="R16" s="3" t="s">
        <v>50</v>
      </c>
      <c r="S16" s="3" t="s">
        <v>572</v>
      </c>
      <c r="T16" s="3" t="s">
        <v>49</v>
      </c>
      <c r="U16" s="3" t="s">
        <v>569</v>
      </c>
      <c r="V16" s="3" t="s">
        <v>54</v>
      </c>
      <c r="W16" s="3" t="s">
        <v>68</v>
      </c>
      <c r="X16" s="3" t="s">
        <v>68</v>
      </c>
      <c r="Y16" s="3" t="s">
        <v>70</v>
      </c>
      <c r="Z16" s="3" t="s">
        <v>67</v>
      </c>
      <c r="AA16" s="3" t="s">
        <v>66</v>
      </c>
      <c r="AB16" s="3" t="s">
        <v>69</v>
      </c>
      <c r="AC16" s="3" t="s">
        <v>573</v>
      </c>
      <c r="AD16" s="3" t="s">
        <v>573</v>
      </c>
      <c r="AE16" s="3" t="s">
        <v>704</v>
      </c>
      <c r="AF16" s="3" t="s">
        <v>705</v>
      </c>
      <c r="AG16" s="3" t="s">
        <v>706</v>
      </c>
      <c r="AH16" s="3" t="s">
        <v>706</v>
      </c>
      <c r="AI16" s="3" t="s">
        <v>564</v>
      </c>
      <c r="AJ16" s="3" t="s">
        <v>565</v>
      </c>
      <c r="AK16" s="3" t="s">
        <v>565</v>
      </c>
      <c r="AL16" s="3" t="s">
        <v>589</v>
      </c>
      <c r="AM16" s="3" t="s">
        <v>590</v>
      </c>
      <c r="AN16" s="3" t="s">
        <v>306</v>
      </c>
      <c r="AO16" s="3" t="s">
        <v>311</v>
      </c>
      <c r="AP16" s="3" t="s">
        <v>711</v>
      </c>
      <c r="AQ16" s="3" t="s">
        <v>711</v>
      </c>
      <c r="AR16" s="3" t="s">
        <v>325</v>
      </c>
      <c r="AS16" s="3" t="s">
        <v>571</v>
      </c>
      <c r="AT16" s="3" t="s">
        <v>569</v>
      </c>
      <c r="AU16" s="3" t="s">
        <v>310</v>
      </c>
      <c r="AV16" s="3" t="s">
        <v>582</v>
      </c>
      <c r="AW16" s="3" t="s">
        <v>712</v>
      </c>
      <c r="AX16" s="3" t="s">
        <v>57</v>
      </c>
      <c r="AY16" s="3" t="s">
        <v>57</v>
      </c>
      <c r="BB16" s="3" t="s">
        <v>712</v>
      </c>
      <c r="BC16" s="3" t="s">
        <v>308</v>
      </c>
      <c r="BD16" s="3" t="s">
        <v>309</v>
      </c>
      <c r="BE16" s="3" t="s">
        <v>584</v>
      </c>
      <c r="BF16" s="3" t="s">
        <v>712</v>
      </c>
      <c r="BG16" s="3" t="s">
        <v>57</v>
      </c>
      <c r="BH16" s="3" t="s">
        <v>57</v>
      </c>
      <c r="BI16" s="3" t="s">
        <v>57</v>
      </c>
      <c r="BJ16" s="3" t="s">
        <v>57</v>
      </c>
      <c r="BK16" s="3" t="s">
        <v>57</v>
      </c>
      <c r="BL16" s="3" t="s">
        <v>57</v>
      </c>
      <c r="BM16" s="3" t="s">
        <v>57</v>
      </c>
      <c r="BN16" s="3" t="s">
        <v>57</v>
      </c>
      <c r="BO16" s="3" t="s">
        <v>57</v>
      </c>
      <c r="BP16" s="3" t="s">
        <v>709</v>
      </c>
      <c r="BQ16" s="3" t="s">
        <v>511</v>
      </c>
      <c r="BR16" s="3" t="s">
        <v>586</v>
      </c>
      <c r="BS16" s="3" t="s">
        <v>525</v>
      </c>
      <c r="BT16" s="3" t="s">
        <v>526</v>
      </c>
      <c r="BU16" s="3" t="s">
        <v>571</v>
      </c>
      <c r="BX16" s="3" t="s">
        <v>571</v>
      </c>
      <c r="BY16" s="3" t="s">
        <v>573</v>
      </c>
      <c r="BZ16" s="3" t="s">
        <v>532</v>
      </c>
      <c r="CA16" s="3" t="s">
        <v>710</v>
      </c>
      <c r="CB16" s="3" t="s">
        <v>71</v>
      </c>
      <c r="CC16" s="3" t="s">
        <v>533</v>
      </c>
      <c r="CD16" s="3" t="s">
        <v>527</v>
      </c>
      <c r="CE16" s="3" t="s">
        <v>528</v>
      </c>
      <c r="CF16" s="3" t="s">
        <v>529</v>
      </c>
      <c r="CH16" s="3" t="s">
        <v>573</v>
      </c>
      <c r="CI16" s="3" t="s">
        <v>534</v>
      </c>
      <c r="CJ16" s="3" t="s">
        <v>57</v>
      </c>
      <c r="CK16" s="3" t="s">
        <v>706</v>
      </c>
      <c r="CL16" s="3" t="s">
        <v>584</v>
      </c>
      <c r="CM16" s="3" t="s">
        <v>706</v>
      </c>
    </row>
    <row r="17" spans="1:91" x14ac:dyDescent="0.25">
      <c r="A17" s="3" t="s">
        <v>660</v>
      </c>
      <c r="B17" s="3" t="s">
        <v>713</v>
      </c>
      <c r="C17" s="3" t="s">
        <v>137</v>
      </c>
      <c r="D17" s="3" t="s">
        <v>700</v>
      </c>
      <c r="E17" s="3" t="s">
        <v>563</v>
      </c>
      <c r="F17" s="3" t="s">
        <v>564</v>
      </c>
      <c r="G17" s="3" t="s">
        <v>589</v>
      </c>
      <c r="H17" s="3" t="s">
        <v>714</v>
      </c>
      <c r="I17" s="3" t="s">
        <v>715</v>
      </c>
      <c r="J17" s="3" t="s">
        <v>716</v>
      </c>
      <c r="K17" s="3" t="s">
        <v>714</v>
      </c>
      <c r="L17" s="3" t="s">
        <v>569</v>
      </c>
      <c r="M17" s="3" t="s">
        <v>46</v>
      </c>
      <c r="N17" s="3" t="s">
        <v>47</v>
      </c>
      <c r="O17" s="3" t="s">
        <v>48</v>
      </c>
      <c r="P17" s="3" t="s">
        <v>570</v>
      </c>
      <c r="Q17" s="3" t="s">
        <v>571</v>
      </c>
      <c r="R17" s="3" t="s">
        <v>50</v>
      </c>
      <c r="S17" s="3" t="s">
        <v>572</v>
      </c>
      <c r="T17" s="3" t="s">
        <v>49</v>
      </c>
      <c r="U17" s="3" t="s">
        <v>569</v>
      </c>
      <c r="V17" s="3" t="s">
        <v>54</v>
      </c>
      <c r="W17" s="3" t="s">
        <v>68</v>
      </c>
      <c r="X17" s="3" t="s">
        <v>68</v>
      </c>
      <c r="Y17" s="3" t="s">
        <v>70</v>
      </c>
      <c r="Z17" s="3" t="s">
        <v>67</v>
      </c>
      <c r="AA17" s="3" t="s">
        <v>66</v>
      </c>
      <c r="AB17" s="3" t="s">
        <v>69</v>
      </c>
      <c r="AC17" s="3" t="s">
        <v>573</v>
      </c>
      <c r="AD17" s="3" t="s">
        <v>573</v>
      </c>
      <c r="AE17" s="3" t="s">
        <v>717</v>
      </c>
      <c r="AF17" s="3" t="s">
        <v>718</v>
      </c>
      <c r="AG17" s="3" t="s">
        <v>708</v>
      </c>
      <c r="AH17" s="3" t="s">
        <v>708</v>
      </c>
      <c r="AI17" s="3" t="s">
        <v>610</v>
      </c>
      <c r="AJ17" s="3" t="s">
        <v>565</v>
      </c>
      <c r="AK17" s="3" t="s">
        <v>565</v>
      </c>
      <c r="AL17" s="3" t="s">
        <v>573</v>
      </c>
      <c r="AM17" s="3" t="s">
        <v>719</v>
      </c>
      <c r="AN17" s="3" t="s">
        <v>306</v>
      </c>
      <c r="AO17" s="3" t="s">
        <v>311</v>
      </c>
      <c r="AP17" s="3" t="s">
        <v>707</v>
      </c>
      <c r="AQ17" s="3" t="s">
        <v>707</v>
      </c>
      <c r="AR17" s="3" t="s">
        <v>323</v>
      </c>
      <c r="AS17" s="3" t="s">
        <v>571</v>
      </c>
      <c r="AT17" s="3" t="s">
        <v>569</v>
      </c>
      <c r="AU17" s="3" t="s">
        <v>310</v>
      </c>
      <c r="AV17" s="3" t="s">
        <v>582</v>
      </c>
      <c r="AW17" s="3" t="s">
        <v>708</v>
      </c>
      <c r="AX17" s="3" t="s">
        <v>57</v>
      </c>
      <c r="AY17" s="3" t="s">
        <v>57</v>
      </c>
      <c r="BB17" s="3" t="s">
        <v>708</v>
      </c>
      <c r="BC17" s="3" t="s">
        <v>308</v>
      </c>
      <c r="BD17" s="3" t="s">
        <v>309</v>
      </c>
      <c r="BE17" s="3" t="s">
        <v>584</v>
      </c>
      <c r="BF17" s="3" t="s">
        <v>708</v>
      </c>
      <c r="BG17" s="3" t="s">
        <v>57</v>
      </c>
      <c r="BH17" s="3" t="s">
        <v>57</v>
      </c>
      <c r="BI17" s="3" t="s">
        <v>57</v>
      </c>
      <c r="BJ17" s="3" t="s">
        <v>57</v>
      </c>
      <c r="BK17" s="3" t="s">
        <v>57</v>
      </c>
      <c r="BL17" s="3" t="s">
        <v>57</v>
      </c>
      <c r="BM17" s="3" t="s">
        <v>57</v>
      </c>
      <c r="BN17" s="3" t="s">
        <v>57</v>
      </c>
      <c r="BO17" s="3" t="s">
        <v>57</v>
      </c>
      <c r="BP17" s="3" t="s">
        <v>720</v>
      </c>
      <c r="BQ17" s="3" t="s">
        <v>511</v>
      </c>
      <c r="BR17" s="3" t="s">
        <v>586</v>
      </c>
      <c r="BS17" s="3" t="s">
        <v>525</v>
      </c>
      <c r="BT17" s="3" t="s">
        <v>526</v>
      </c>
      <c r="BU17" s="3" t="s">
        <v>571</v>
      </c>
      <c r="BX17" s="3" t="s">
        <v>571</v>
      </c>
      <c r="BY17" s="3" t="s">
        <v>573</v>
      </c>
      <c r="BZ17" s="3" t="s">
        <v>532</v>
      </c>
      <c r="CA17" s="3" t="s">
        <v>710</v>
      </c>
      <c r="CB17" s="3" t="s">
        <v>71</v>
      </c>
      <c r="CC17" s="3" t="s">
        <v>533</v>
      </c>
      <c r="CD17" s="3" t="s">
        <v>527</v>
      </c>
      <c r="CE17" s="3" t="s">
        <v>528</v>
      </c>
      <c r="CF17" s="3" t="s">
        <v>529</v>
      </c>
      <c r="CH17" s="3" t="s">
        <v>573</v>
      </c>
      <c r="CI17" s="3" t="s">
        <v>535</v>
      </c>
      <c r="CJ17" s="3" t="s">
        <v>57</v>
      </c>
      <c r="CK17" s="3" t="s">
        <v>708</v>
      </c>
      <c r="CL17" s="3" t="s">
        <v>584</v>
      </c>
      <c r="CM17" s="3" t="s">
        <v>708</v>
      </c>
    </row>
    <row r="18" spans="1:91" x14ac:dyDescent="0.25">
      <c r="A18" s="3" t="s">
        <v>677</v>
      </c>
      <c r="B18" s="3" t="s">
        <v>721</v>
      </c>
      <c r="C18" s="3" t="s">
        <v>146</v>
      </c>
      <c r="D18" s="3" t="s">
        <v>700</v>
      </c>
      <c r="E18" s="3" t="s">
        <v>563</v>
      </c>
      <c r="F18" s="3" t="s">
        <v>564</v>
      </c>
      <c r="G18" s="3" t="s">
        <v>589</v>
      </c>
      <c r="H18" s="3" t="s">
        <v>722</v>
      </c>
      <c r="I18" s="3" t="s">
        <v>723</v>
      </c>
      <c r="J18" s="3" t="s">
        <v>724</v>
      </c>
      <c r="K18" s="3" t="s">
        <v>722</v>
      </c>
      <c r="L18" s="3" t="s">
        <v>569</v>
      </c>
      <c r="M18" s="3" t="s">
        <v>46</v>
      </c>
      <c r="N18" s="3" t="s">
        <v>47</v>
      </c>
      <c r="O18" s="3" t="s">
        <v>48</v>
      </c>
      <c r="P18" s="3" t="s">
        <v>570</v>
      </c>
      <c r="Q18" s="3" t="s">
        <v>571</v>
      </c>
      <c r="R18" s="3" t="s">
        <v>50</v>
      </c>
      <c r="S18" s="3" t="s">
        <v>572</v>
      </c>
      <c r="T18" s="3" t="s">
        <v>49</v>
      </c>
      <c r="U18" s="3" t="s">
        <v>569</v>
      </c>
      <c r="V18" s="3" t="s">
        <v>54</v>
      </c>
      <c r="W18" s="3" t="s">
        <v>68</v>
      </c>
      <c r="X18" s="3" t="s">
        <v>68</v>
      </c>
      <c r="Y18" s="3" t="s">
        <v>70</v>
      </c>
      <c r="Z18" s="3" t="s">
        <v>67</v>
      </c>
      <c r="AA18" s="3" t="s">
        <v>66</v>
      </c>
      <c r="AB18" s="3" t="s">
        <v>69</v>
      </c>
      <c r="AC18" s="3" t="s">
        <v>573</v>
      </c>
      <c r="AD18" s="3" t="s">
        <v>573</v>
      </c>
      <c r="AE18" s="3" t="s">
        <v>725</v>
      </c>
      <c r="AF18" s="3" t="s">
        <v>726</v>
      </c>
      <c r="AG18" s="3" t="s">
        <v>727</v>
      </c>
      <c r="AH18" s="3" t="s">
        <v>727</v>
      </c>
      <c r="AI18" s="3" t="s">
        <v>678</v>
      </c>
      <c r="AJ18" s="3" t="s">
        <v>579</v>
      </c>
      <c r="AK18" s="3" t="s">
        <v>579</v>
      </c>
      <c r="AL18" s="3" t="s">
        <v>573</v>
      </c>
      <c r="AM18" s="3" t="s">
        <v>610</v>
      </c>
      <c r="AN18" s="3" t="s">
        <v>306</v>
      </c>
      <c r="AO18" s="3" t="s">
        <v>311</v>
      </c>
      <c r="AP18" s="3" t="s">
        <v>679</v>
      </c>
      <c r="AQ18" s="3" t="s">
        <v>679</v>
      </c>
      <c r="AR18" s="3" t="s">
        <v>328</v>
      </c>
      <c r="AS18" s="3" t="s">
        <v>571</v>
      </c>
      <c r="AT18" s="3" t="s">
        <v>569</v>
      </c>
      <c r="AU18" s="3" t="s">
        <v>310</v>
      </c>
      <c r="AV18" s="3" t="s">
        <v>592</v>
      </c>
      <c r="AW18" s="3" t="s">
        <v>728</v>
      </c>
      <c r="AX18" s="3" t="s">
        <v>57</v>
      </c>
      <c r="AY18" s="3" t="s">
        <v>57</v>
      </c>
      <c r="BB18" s="3" t="s">
        <v>729</v>
      </c>
      <c r="BC18" s="3" t="s">
        <v>308</v>
      </c>
      <c r="BD18" s="3" t="s">
        <v>309</v>
      </c>
      <c r="BE18" s="3" t="s">
        <v>584</v>
      </c>
      <c r="BF18" s="3" t="s">
        <v>729</v>
      </c>
      <c r="BG18" s="3" t="s">
        <v>57</v>
      </c>
      <c r="BH18" s="3" t="s">
        <v>57</v>
      </c>
      <c r="BI18" s="3" t="s">
        <v>57</v>
      </c>
      <c r="BJ18" s="3" t="s">
        <v>57</v>
      </c>
      <c r="BK18" s="3" t="s">
        <v>57</v>
      </c>
      <c r="BL18" s="3" t="s">
        <v>57</v>
      </c>
      <c r="BM18" s="3" t="s">
        <v>57</v>
      </c>
      <c r="BN18" s="3" t="s">
        <v>57</v>
      </c>
      <c r="BO18" s="3" t="s">
        <v>57</v>
      </c>
      <c r="BP18" s="3" t="s">
        <v>730</v>
      </c>
      <c r="BQ18" s="3" t="s">
        <v>511</v>
      </c>
      <c r="BR18" s="3" t="s">
        <v>586</v>
      </c>
      <c r="BS18" s="3" t="s">
        <v>536</v>
      </c>
      <c r="BT18" s="3" t="s">
        <v>537</v>
      </c>
      <c r="BU18" s="3" t="s">
        <v>538</v>
      </c>
      <c r="BX18" s="3" t="s">
        <v>651</v>
      </c>
      <c r="BY18" s="3" t="s">
        <v>586</v>
      </c>
      <c r="BZ18" s="3" t="s">
        <v>532</v>
      </c>
      <c r="CA18" s="3" t="s">
        <v>731</v>
      </c>
      <c r="CC18" s="3" t="s">
        <v>539</v>
      </c>
      <c r="CD18" s="3" t="s">
        <v>540</v>
      </c>
      <c r="CE18" s="3" t="s">
        <v>541</v>
      </c>
      <c r="CF18" s="3" t="s">
        <v>542</v>
      </c>
      <c r="CH18" s="3" t="s">
        <v>573</v>
      </c>
      <c r="CI18" s="3" t="s">
        <v>543</v>
      </c>
      <c r="CJ18" s="3" t="s">
        <v>57</v>
      </c>
      <c r="CK18" s="3" t="s">
        <v>727</v>
      </c>
      <c r="CL18" s="3" t="s">
        <v>584</v>
      </c>
      <c r="CM18" s="3" t="s">
        <v>727</v>
      </c>
    </row>
    <row r="19" spans="1:91" x14ac:dyDescent="0.25">
      <c r="A19" s="3" t="s">
        <v>677</v>
      </c>
      <c r="B19" s="3" t="s">
        <v>721</v>
      </c>
      <c r="C19" s="3" t="s">
        <v>146</v>
      </c>
      <c r="D19" s="3" t="s">
        <v>700</v>
      </c>
      <c r="E19" s="3" t="s">
        <v>563</v>
      </c>
      <c r="F19" s="3" t="s">
        <v>564</v>
      </c>
      <c r="G19" s="3" t="s">
        <v>589</v>
      </c>
      <c r="H19" s="3" t="s">
        <v>722</v>
      </c>
      <c r="I19" s="3" t="s">
        <v>723</v>
      </c>
      <c r="J19" s="3" t="s">
        <v>724</v>
      </c>
      <c r="K19" s="3" t="s">
        <v>722</v>
      </c>
      <c r="L19" s="3" t="s">
        <v>569</v>
      </c>
      <c r="M19" s="3" t="s">
        <v>46</v>
      </c>
      <c r="N19" s="3" t="s">
        <v>47</v>
      </c>
      <c r="O19" s="3" t="s">
        <v>48</v>
      </c>
      <c r="P19" s="3" t="s">
        <v>570</v>
      </c>
      <c r="Q19" s="3" t="s">
        <v>571</v>
      </c>
      <c r="R19" s="3" t="s">
        <v>50</v>
      </c>
      <c r="S19" s="3" t="s">
        <v>572</v>
      </c>
      <c r="T19" s="3" t="s">
        <v>49</v>
      </c>
      <c r="U19" s="3" t="s">
        <v>569</v>
      </c>
      <c r="V19" s="3" t="s">
        <v>54</v>
      </c>
      <c r="W19" s="3" t="s">
        <v>68</v>
      </c>
      <c r="X19" s="3" t="s">
        <v>68</v>
      </c>
      <c r="Y19" s="3" t="s">
        <v>70</v>
      </c>
      <c r="Z19" s="3" t="s">
        <v>67</v>
      </c>
      <c r="AA19" s="3" t="s">
        <v>66</v>
      </c>
      <c r="AB19" s="3" t="s">
        <v>69</v>
      </c>
      <c r="AC19" s="3" t="s">
        <v>573</v>
      </c>
      <c r="AD19" s="3" t="s">
        <v>573</v>
      </c>
      <c r="AE19" s="3" t="s">
        <v>725</v>
      </c>
      <c r="AF19" s="3" t="s">
        <v>726</v>
      </c>
      <c r="AG19" s="3" t="s">
        <v>727</v>
      </c>
      <c r="AH19" s="3" t="s">
        <v>727</v>
      </c>
      <c r="AI19" s="3" t="s">
        <v>590</v>
      </c>
      <c r="AJ19" s="3" t="s">
        <v>565</v>
      </c>
      <c r="AK19" s="3" t="s">
        <v>565</v>
      </c>
      <c r="AL19" s="3" t="s">
        <v>589</v>
      </c>
      <c r="AM19" s="3" t="s">
        <v>590</v>
      </c>
      <c r="AN19" s="3" t="s">
        <v>306</v>
      </c>
      <c r="AO19" s="3" t="s">
        <v>311</v>
      </c>
      <c r="AP19" s="3" t="s">
        <v>732</v>
      </c>
      <c r="AQ19" s="3" t="s">
        <v>732</v>
      </c>
      <c r="AR19" s="3" t="s">
        <v>330</v>
      </c>
      <c r="AS19" s="3" t="s">
        <v>571</v>
      </c>
      <c r="AT19" s="3" t="s">
        <v>569</v>
      </c>
      <c r="AU19" s="3" t="s">
        <v>310</v>
      </c>
      <c r="AV19" s="3" t="s">
        <v>733</v>
      </c>
      <c r="AW19" s="3" t="s">
        <v>734</v>
      </c>
      <c r="AX19" s="3" t="s">
        <v>57</v>
      </c>
      <c r="AY19" s="3" t="s">
        <v>57</v>
      </c>
      <c r="BB19" s="3" t="s">
        <v>735</v>
      </c>
      <c r="BC19" s="3" t="s">
        <v>308</v>
      </c>
      <c r="BD19" s="3" t="s">
        <v>309</v>
      </c>
      <c r="BE19" s="3" t="s">
        <v>584</v>
      </c>
      <c r="BF19" s="3" t="s">
        <v>735</v>
      </c>
      <c r="BG19" s="3" t="s">
        <v>57</v>
      </c>
      <c r="BH19" s="3" t="s">
        <v>57</v>
      </c>
      <c r="BI19" s="3" t="s">
        <v>57</v>
      </c>
      <c r="BJ19" s="3" t="s">
        <v>57</v>
      </c>
      <c r="BK19" s="3" t="s">
        <v>57</v>
      </c>
      <c r="BL19" s="3" t="s">
        <v>57</v>
      </c>
      <c r="BM19" s="3" t="s">
        <v>57</v>
      </c>
      <c r="BN19" s="3" t="s">
        <v>57</v>
      </c>
      <c r="BO19" s="3" t="s">
        <v>57</v>
      </c>
      <c r="BP19" s="3" t="s">
        <v>730</v>
      </c>
      <c r="BQ19" s="3" t="s">
        <v>511</v>
      </c>
      <c r="BR19" s="3" t="s">
        <v>586</v>
      </c>
      <c r="BS19" s="3" t="s">
        <v>536</v>
      </c>
      <c r="BT19" s="3" t="s">
        <v>537</v>
      </c>
      <c r="BU19" s="3" t="s">
        <v>538</v>
      </c>
      <c r="BX19" s="3" t="s">
        <v>651</v>
      </c>
      <c r="BY19" s="3" t="s">
        <v>586</v>
      </c>
      <c r="BZ19" s="3" t="s">
        <v>532</v>
      </c>
      <c r="CA19" s="3" t="s">
        <v>731</v>
      </c>
      <c r="CC19" s="3" t="s">
        <v>539</v>
      </c>
      <c r="CD19" s="3" t="s">
        <v>540</v>
      </c>
      <c r="CE19" s="3" t="s">
        <v>541</v>
      </c>
      <c r="CF19" s="3" t="s">
        <v>542</v>
      </c>
      <c r="CH19" s="3" t="s">
        <v>573</v>
      </c>
      <c r="CI19" s="3" t="s">
        <v>543</v>
      </c>
      <c r="CJ19" s="3" t="s">
        <v>57</v>
      </c>
      <c r="CK19" s="3" t="s">
        <v>727</v>
      </c>
      <c r="CL19" s="3" t="s">
        <v>584</v>
      </c>
      <c r="CM19" s="3" t="s">
        <v>727</v>
      </c>
    </row>
    <row r="20" spans="1:91" x14ac:dyDescent="0.25">
      <c r="A20" s="3" t="s">
        <v>736</v>
      </c>
      <c r="B20" s="3" t="s">
        <v>737</v>
      </c>
      <c r="C20" s="3" t="s">
        <v>155</v>
      </c>
      <c r="D20" s="3" t="s">
        <v>700</v>
      </c>
      <c r="E20" s="3" t="s">
        <v>563</v>
      </c>
      <c r="F20" s="3" t="s">
        <v>564</v>
      </c>
      <c r="G20" s="3" t="s">
        <v>589</v>
      </c>
      <c r="H20" s="3" t="s">
        <v>738</v>
      </c>
      <c r="I20" s="3" t="s">
        <v>739</v>
      </c>
      <c r="J20" s="3" t="s">
        <v>740</v>
      </c>
      <c r="K20" s="3" t="s">
        <v>738</v>
      </c>
      <c r="L20" s="3" t="s">
        <v>569</v>
      </c>
      <c r="M20" s="3" t="s">
        <v>46</v>
      </c>
      <c r="N20" s="3" t="s">
        <v>47</v>
      </c>
      <c r="O20" s="3" t="s">
        <v>48</v>
      </c>
      <c r="P20" s="3" t="s">
        <v>570</v>
      </c>
      <c r="Q20" s="3" t="s">
        <v>571</v>
      </c>
      <c r="R20" s="3" t="s">
        <v>50</v>
      </c>
      <c r="S20" s="3" t="s">
        <v>572</v>
      </c>
      <c r="T20" s="3" t="s">
        <v>49</v>
      </c>
      <c r="U20" s="3" t="s">
        <v>569</v>
      </c>
      <c r="V20" s="3" t="s">
        <v>54</v>
      </c>
      <c r="W20" s="3" t="s">
        <v>68</v>
      </c>
      <c r="X20" s="3" t="s">
        <v>68</v>
      </c>
      <c r="Y20" s="3" t="s">
        <v>70</v>
      </c>
      <c r="Z20" s="3" t="s">
        <v>89</v>
      </c>
      <c r="AA20" s="3" t="s">
        <v>88</v>
      </c>
      <c r="AB20" s="3" t="s">
        <v>69</v>
      </c>
      <c r="AC20" s="3" t="s">
        <v>573</v>
      </c>
      <c r="AD20" s="3" t="s">
        <v>573</v>
      </c>
      <c r="AE20" s="3" t="s">
        <v>741</v>
      </c>
      <c r="AF20" s="3" t="s">
        <v>742</v>
      </c>
      <c r="AG20" s="3" t="s">
        <v>743</v>
      </c>
      <c r="AH20" s="3" t="s">
        <v>744</v>
      </c>
      <c r="AI20" s="3" t="s">
        <v>571</v>
      </c>
      <c r="AJ20" s="3" t="s">
        <v>579</v>
      </c>
      <c r="AK20" s="3" t="s">
        <v>579</v>
      </c>
      <c r="AL20" s="3" t="s">
        <v>573</v>
      </c>
      <c r="AM20" s="3" t="s">
        <v>564</v>
      </c>
      <c r="AN20" s="3" t="s">
        <v>306</v>
      </c>
      <c r="AO20" s="3" t="s">
        <v>311</v>
      </c>
      <c r="AP20" s="3" t="s">
        <v>745</v>
      </c>
      <c r="AQ20" s="3" t="s">
        <v>745</v>
      </c>
      <c r="AR20" s="3" t="s">
        <v>332</v>
      </c>
      <c r="AS20" s="3" t="s">
        <v>571</v>
      </c>
      <c r="AT20" s="3" t="s">
        <v>569</v>
      </c>
      <c r="AU20" s="3" t="s">
        <v>310</v>
      </c>
      <c r="AV20" s="3" t="s">
        <v>635</v>
      </c>
      <c r="AW20" s="3" t="s">
        <v>746</v>
      </c>
      <c r="AX20" s="3" t="s">
        <v>57</v>
      </c>
      <c r="AY20" s="3" t="s">
        <v>57</v>
      </c>
      <c r="BB20" s="3" t="s">
        <v>747</v>
      </c>
      <c r="BC20" s="3" t="s">
        <v>314</v>
      </c>
      <c r="BD20" s="3" t="s">
        <v>315</v>
      </c>
      <c r="BE20" s="3" t="s">
        <v>748</v>
      </c>
      <c r="BF20" s="3" t="s">
        <v>749</v>
      </c>
      <c r="BG20" s="3" t="s">
        <v>57</v>
      </c>
      <c r="BH20" s="3" t="s">
        <v>57</v>
      </c>
      <c r="BI20" s="3" t="s">
        <v>57</v>
      </c>
      <c r="BJ20" s="3" t="s">
        <v>57</v>
      </c>
      <c r="BK20" s="3" t="s">
        <v>57</v>
      </c>
      <c r="BL20" s="3" t="s">
        <v>57</v>
      </c>
      <c r="BM20" s="3" t="s">
        <v>57</v>
      </c>
      <c r="BN20" s="3" t="s">
        <v>57</v>
      </c>
      <c r="BO20" s="3" t="s">
        <v>57</v>
      </c>
      <c r="BP20" s="3" t="s">
        <v>750</v>
      </c>
      <c r="BQ20" s="3" t="s">
        <v>511</v>
      </c>
      <c r="BR20" s="3" t="s">
        <v>586</v>
      </c>
      <c r="BS20" s="3" t="s">
        <v>536</v>
      </c>
      <c r="BT20" s="3" t="s">
        <v>537</v>
      </c>
      <c r="BU20" s="3" t="s">
        <v>538</v>
      </c>
      <c r="BX20" s="3" t="s">
        <v>651</v>
      </c>
      <c r="BY20" s="3" t="s">
        <v>586</v>
      </c>
      <c r="CH20" s="3" t="s">
        <v>573</v>
      </c>
      <c r="CI20" s="3" t="s">
        <v>544</v>
      </c>
      <c r="CJ20" s="3" t="s">
        <v>545</v>
      </c>
      <c r="CK20" s="3" t="s">
        <v>735</v>
      </c>
      <c r="CL20" s="3" t="s">
        <v>751</v>
      </c>
      <c r="CM20" s="3" t="s">
        <v>752</v>
      </c>
    </row>
    <row r="21" spans="1:91" x14ac:dyDescent="0.25">
      <c r="A21" s="3" t="s">
        <v>736</v>
      </c>
      <c r="B21" s="3" t="s">
        <v>737</v>
      </c>
      <c r="C21" s="3" t="s">
        <v>155</v>
      </c>
      <c r="D21" s="3" t="s">
        <v>700</v>
      </c>
      <c r="E21" s="3" t="s">
        <v>563</v>
      </c>
      <c r="F21" s="3" t="s">
        <v>564</v>
      </c>
      <c r="G21" s="3" t="s">
        <v>589</v>
      </c>
      <c r="H21" s="3" t="s">
        <v>738</v>
      </c>
      <c r="I21" s="3" t="s">
        <v>739</v>
      </c>
      <c r="J21" s="3" t="s">
        <v>740</v>
      </c>
      <c r="K21" s="3" t="s">
        <v>738</v>
      </c>
      <c r="L21" s="3" t="s">
        <v>569</v>
      </c>
      <c r="M21" s="3" t="s">
        <v>46</v>
      </c>
      <c r="N21" s="3" t="s">
        <v>47</v>
      </c>
      <c r="O21" s="3" t="s">
        <v>48</v>
      </c>
      <c r="P21" s="3" t="s">
        <v>570</v>
      </c>
      <c r="Q21" s="3" t="s">
        <v>571</v>
      </c>
      <c r="R21" s="3" t="s">
        <v>50</v>
      </c>
      <c r="S21" s="3" t="s">
        <v>572</v>
      </c>
      <c r="T21" s="3" t="s">
        <v>49</v>
      </c>
      <c r="U21" s="3" t="s">
        <v>569</v>
      </c>
      <c r="V21" s="3" t="s">
        <v>54</v>
      </c>
      <c r="W21" s="3" t="s">
        <v>68</v>
      </c>
      <c r="X21" s="3" t="s">
        <v>68</v>
      </c>
      <c r="Y21" s="3" t="s">
        <v>70</v>
      </c>
      <c r="Z21" s="3" t="s">
        <v>89</v>
      </c>
      <c r="AA21" s="3" t="s">
        <v>88</v>
      </c>
      <c r="AB21" s="3" t="s">
        <v>69</v>
      </c>
      <c r="AC21" s="3" t="s">
        <v>573</v>
      </c>
      <c r="AD21" s="3" t="s">
        <v>573</v>
      </c>
      <c r="AE21" s="3" t="s">
        <v>741</v>
      </c>
      <c r="AF21" s="3" t="s">
        <v>742</v>
      </c>
      <c r="AG21" s="3" t="s">
        <v>743</v>
      </c>
      <c r="AH21" s="3" t="s">
        <v>744</v>
      </c>
      <c r="AI21" s="3" t="s">
        <v>753</v>
      </c>
      <c r="AJ21" s="3" t="s">
        <v>565</v>
      </c>
      <c r="AK21" s="3" t="s">
        <v>565</v>
      </c>
      <c r="AL21" s="3" t="s">
        <v>589</v>
      </c>
      <c r="AM21" s="3" t="s">
        <v>590</v>
      </c>
      <c r="AN21" s="3" t="s">
        <v>306</v>
      </c>
      <c r="AO21" s="3" t="s">
        <v>311</v>
      </c>
      <c r="AP21" s="3" t="s">
        <v>754</v>
      </c>
      <c r="AQ21" s="3" t="s">
        <v>754</v>
      </c>
      <c r="AR21" s="3" t="s">
        <v>334</v>
      </c>
      <c r="AS21" s="3" t="s">
        <v>581</v>
      </c>
      <c r="AT21" s="3" t="s">
        <v>569</v>
      </c>
      <c r="AU21" s="3" t="s">
        <v>316</v>
      </c>
      <c r="AV21" s="3" t="s">
        <v>592</v>
      </c>
      <c r="AW21" s="3" t="s">
        <v>755</v>
      </c>
      <c r="AX21" s="3" t="s">
        <v>57</v>
      </c>
      <c r="AY21" s="3" t="s">
        <v>57</v>
      </c>
      <c r="BB21" s="3" t="s">
        <v>756</v>
      </c>
      <c r="BC21" s="3" t="s">
        <v>308</v>
      </c>
      <c r="BD21" s="3" t="s">
        <v>335</v>
      </c>
      <c r="BE21" s="3" t="s">
        <v>584</v>
      </c>
      <c r="BF21" s="3" t="s">
        <v>756</v>
      </c>
      <c r="BG21" s="3" t="s">
        <v>57</v>
      </c>
      <c r="BH21" s="3" t="s">
        <v>57</v>
      </c>
      <c r="BI21" s="3" t="s">
        <v>57</v>
      </c>
      <c r="BJ21" s="3" t="s">
        <v>57</v>
      </c>
      <c r="BK21" s="3" t="s">
        <v>57</v>
      </c>
      <c r="BL21" s="3" t="s">
        <v>57</v>
      </c>
      <c r="BM21" s="3" t="s">
        <v>57</v>
      </c>
      <c r="BN21" s="3" t="s">
        <v>57</v>
      </c>
      <c r="BO21" s="3" t="s">
        <v>57</v>
      </c>
      <c r="BP21" s="3" t="s">
        <v>750</v>
      </c>
      <c r="BQ21" s="3" t="s">
        <v>511</v>
      </c>
      <c r="BR21" s="3" t="s">
        <v>586</v>
      </c>
      <c r="BS21" s="3" t="s">
        <v>536</v>
      </c>
      <c r="BT21" s="3" t="s">
        <v>537</v>
      </c>
      <c r="BU21" s="3" t="s">
        <v>538</v>
      </c>
      <c r="BX21" s="3" t="s">
        <v>651</v>
      </c>
      <c r="BY21" s="3" t="s">
        <v>586</v>
      </c>
      <c r="CH21" s="3" t="s">
        <v>573</v>
      </c>
      <c r="CI21" s="3" t="s">
        <v>544</v>
      </c>
      <c r="CJ21" s="3" t="s">
        <v>545</v>
      </c>
      <c r="CK21" s="3" t="s">
        <v>735</v>
      </c>
      <c r="CL21" s="3" t="s">
        <v>751</v>
      </c>
      <c r="CM21" s="3" t="s">
        <v>752</v>
      </c>
    </row>
    <row r="22" spans="1:91" x14ac:dyDescent="0.25">
      <c r="A22" s="3" t="s">
        <v>572</v>
      </c>
      <c r="B22" s="3" t="s">
        <v>757</v>
      </c>
      <c r="C22" s="3" t="s">
        <v>186</v>
      </c>
      <c r="D22" s="3" t="s">
        <v>700</v>
      </c>
      <c r="E22" s="3" t="s">
        <v>563</v>
      </c>
      <c r="F22" s="3" t="s">
        <v>564</v>
      </c>
      <c r="G22" s="3" t="s">
        <v>589</v>
      </c>
      <c r="H22" s="3" t="s">
        <v>758</v>
      </c>
      <c r="I22" s="3" t="s">
        <v>759</v>
      </c>
      <c r="J22" s="3" t="s">
        <v>760</v>
      </c>
      <c r="K22" s="3" t="s">
        <v>758</v>
      </c>
      <c r="L22" s="3" t="s">
        <v>569</v>
      </c>
      <c r="M22" s="3" t="s">
        <v>46</v>
      </c>
      <c r="N22" s="3" t="s">
        <v>47</v>
      </c>
      <c r="O22" s="3" t="s">
        <v>48</v>
      </c>
      <c r="P22" s="3" t="s">
        <v>570</v>
      </c>
      <c r="Q22" s="3" t="s">
        <v>571</v>
      </c>
      <c r="R22" s="3" t="s">
        <v>50</v>
      </c>
      <c r="S22" s="3" t="s">
        <v>572</v>
      </c>
      <c r="T22" s="3" t="s">
        <v>49</v>
      </c>
      <c r="U22" s="3" t="s">
        <v>569</v>
      </c>
      <c r="V22" s="3" t="s">
        <v>54</v>
      </c>
      <c r="W22" s="3" t="s">
        <v>187</v>
      </c>
      <c r="X22" s="3" t="s">
        <v>187</v>
      </c>
      <c r="Y22" s="3" t="s">
        <v>70</v>
      </c>
      <c r="Z22" s="3" t="s">
        <v>67</v>
      </c>
      <c r="AA22" s="3" t="s">
        <v>66</v>
      </c>
      <c r="AB22" s="3" t="s">
        <v>69</v>
      </c>
      <c r="AC22" s="3" t="s">
        <v>573</v>
      </c>
      <c r="AD22" s="3" t="s">
        <v>573</v>
      </c>
      <c r="AE22" s="3" t="s">
        <v>761</v>
      </c>
      <c r="AF22" s="3" t="s">
        <v>572</v>
      </c>
      <c r="AG22" s="3" t="s">
        <v>762</v>
      </c>
      <c r="AH22" s="3" t="s">
        <v>762</v>
      </c>
      <c r="AI22" s="3" t="s">
        <v>661</v>
      </c>
      <c r="AJ22" s="3" t="s">
        <v>565</v>
      </c>
      <c r="AK22" s="3" t="s">
        <v>565</v>
      </c>
      <c r="AL22" s="3" t="s">
        <v>573</v>
      </c>
      <c r="AM22" s="3" t="s">
        <v>565</v>
      </c>
      <c r="AN22" s="3" t="s">
        <v>190</v>
      </c>
      <c r="AO22" s="3" t="s">
        <v>311</v>
      </c>
      <c r="AP22" s="3" t="s">
        <v>711</v>
      </c>
      <c r="AQ22" s="3" t="s">
        <v>711</v>
      </c>
      <c r="AR22" s="3" t="s">
        <v>325</v>
      </c>
      <c r="AS22" s="3" t="s">
        <v>571</v>
      </c>
      <c r="AT22" s="3" t="s">
        <v>569</v>
      </c>
      <c r="AU22" s="3" t="s">
        <v>310</v>
      </c>
      <c r="AV22" s="3" t="s">
        <v>607</v>
      </c>
      <c r="AW22" s="3" t="s">
        <v>712</v>
      </c>
      <c r="AX22" s="3" t="s">
        <v>57</v>
      </c>
      <c r="AY22" s="3" t="s">
        <v>57</v>
      </c>
      <c r="BB22" s="3" t="s">
        <v>762</v>
      </c>
      <c r="BC22" s="3" t="s">
        <v>308</v>
      </c>
      <c r="BD22" s="3" t="s">
        <v>309</v>
      </c>
      <c r="BE22" s="3" t="s">
        <v>584</v>
      </c>
      <c r="BF22" s="3" t="s">
        <v>762</v>
      </c>
      <c r="BG22" s="3" t="s">
        <v>571</v>
      </c>
      <c r="BH22" s="3" t="s">
        <v>569</v>
      </c>
      <c r="BI22" s="3" t="s">
        <v>704</v>
      </c>
      <c r="BJ22" s="3" t="s">
        <v>701</v>
      </c>
      <c r="BK22" s="3" t="s">
        <v>47</v>
      </c>
      <c r="BL22" s="3" t="s">
        <v>705</v>
      </c>
      <c r="BM22" s="3" t="s">
        <v>701</v>
      </c>
      <c r="BN22" s="3" t="s">
        <v>68</v>
      </c>
      <c r="BO22" s="3" t="s">
        <v>573</v>
      </c>
      <c r="BP22" s="3" t="s">
        <v>709</v>
      </c>
      <c r="BQ22" s="3" t="s">
        <v>511</v>
      </c>
      <c r="BR22" s="3" t="s">
        <v>586</v>
      </c>
      <c r="BS22" s="3" t="s">
        <v>525</v>
      </c>
      <c r="BT22" s="3" t="s">
        <v>526</v>
      </c>
      <c r="BU22" s="3" t="s">
        <v>571</v>
      </c>
      <c r="BX22" s="3" t="s">
        <v>571</v>
      </c>
      <c r="BY22" s="3" t="s">
        <v>573</v>
      </c>
      <c r="BZ22" s="3" t="s">
        <v>532</v>
      </c>
      <c r="CA22" s="3" t="s">
        <v>710</v>
      </c>
      <c r="CB22" s="3" t="s">
        <v>71</v>
      </c>
      <c r="CC22" s="3" t="s">
        <v>533</v>
      </c>
      <c r="CD22" s="3" t="s">
        <v>527</v>
      </c>
      <c r="CE22" s="3" t="s">
        <v>528</v>
      </c>
      <c r="CF22" s="3" t="s">
        <v>529</v>
      </c>
      <c r="CH22" s="3" t="s">
        <v>573</v>
      </c>
      <c r="CI22" s="3" t="s">
        <v>546</v>
      </c>
      <c r="CJ22" s="3" t="s">
        <v>57</v>
      </c>
      <c r="CK22" s="3" t="s">
        <v>712</v>
      </c>
      <c r="CL22" s="3" t="s">
        <v>584</v>
      </c>
      <c r="CM22" s="3" t="s">
        <v>712</v>
      </c>
    </row>
    <row r="23" spans="1:91" x14ac:dyDescent="0.25">
      <c r="A23" s="3" t="s">
        <v>575</v>
      </c>
      <c r="B23" s="3" t="s">
        <v>763</v>
      </c>
      <c r="C23" s="3" t="s">
        <v>197</v>
      </c>
      <c r="D23" s="3" t="s">
        <v>700</v>
      </c>
      <c r="E23" s="3" t="s">
        <v>563</v>
      </c>
      <c r="F23" s="3" t="s">
        <v>564</v>
      </c>
      <c r="G23" s="3" t="s">
        <v>589</v>
      </c>
      <c r="H23" s="3" t="s">
        <v>764</v>
      </c>
      <c r="I23" s="3" t="s">
        <v>765</v>
      </c>
      <c r="J23" s="3" t="s">
        <v>766</v>
      </c>
      <c r="K23" s="3" t="s">
        <v>764</v>
      </c>
      <c r="L23" s="3" t="s">
        <v>569</v>
      </c>
      <c r="M23" s="3" t="s">
        <v>46</v>
      </c>
      <c r="N23" s="3" t="s">
        <v>47</v>
      </c>
      <c r="O23" s="3" t="s">
        <v>48</v>
      </c>
      <c r="P23" s="3" t="s">
        <v>570</v>
      </c>
      <c r="Q23" s="3" t="s">
        <v>571</v>
      </c>
      <c r="R23" s="3" t="s">
        <v>50</v>
      </c>
      <c r="S23" s="3" t="s">
        <v>572</v>
      </c>
      <c r="T23" s="3" t="s">
        <v>49</v>
      </c>
      <c r="U23" s="3" t="s">
        <v>569</v>
      </c>
      <c r="V23" s="3" t="s">
        <v>54</v>
      </c>
      <c r="W23" s="3" t="s">
        <v>68</v>
      </c>
      <c r="X23" s="3" t="s">
        <v>68</v>
      </c>
      <c r="Y23" s="3" t="s">
        <v>70</v>
      </c>
      <c r="Z23" s="3" t="s">
        <v>89</v>
      </c>
      <c r="AA23" s="3" t="s">
        <v>88</v>
      </c>
      <c r="AB23" s="3" t="s">
        <v>69</v>
      </c>
      <c r="AC23" s="3" t="s">
        <v>573</v>
      </c>
      <c r="AD23" s="3" t="s">
        <v>573</v>
      </c>
      <c r="AE23" s="3" t="s">
        <v>767</v>
      </c>
      <c r="AF23" s="3" t="s">
        <v>768</v>
      </c>
      <c r="AG23" s="3" t="s">
        <v>594</v>
      </c>
      <c r="AH23" s="3" t="s">
        <v>769</v>
      </c>
      <c r="AI23" s="3" t="s">
        <v>770</v>
      </c>
      <c r="AJ23" s="3" t="s">
        <v>579</v>
      </c>
      <c r="AK23" s="3" t="s">
        <v>579</v>
      </c>
      <c r="AL23" s="3" t="s">
        <v>573</v>
      </c>
      <c r="AM23" s="3" t="s">
        <v>564</v>
      </c>
      <c r="AN23" s="3" t="s">
        <v>306</v>
      </c>
      <c r="AO23" s="3" t="s">
        <v>311</v>
      </c>
      <c r="AP23" s="3" t="s">
        <v>771</v>
      </c>
      <c r="AQ23" s="3" t="s">
        <v>771</v>
      </c>
      <c r="AR23" s="3" t="s">
        <v>340</v>
      </c>
      <c r="AS23" s="3" t="s">
        <v>571</v>
      </c>
      <c r="AT23" s="3" t="s">
        <v>569</v>
      </c>
      <c r="AU23" s="3" t="s">
        <v>310</v>
      </c>
      <c r="AV23" s="3" t="s">
        <v>680</v>
      </c>
      <c r="AW23" s="3" t="s">
        <v>772</v>
      </c>
      <c r="AX23" s="3" t="s">
        <v>772</v>
      </c>
      <c r="AY23" s="3" t="s">
        <v>773</v>
      </c>
      <c r="AZ23" s="3" t="s">
        <v>341</v>
      </c>
      <c r="BA23" s="3" t="s">
        <v>342</v>
      </c>
      <c r="BB23" s="3" t="s">
        <v>594</v>
      </c>
      <c r="BC23" s="3" t="s">
        <v>314</v>
      </c>
      <c r="BD23" s="3" t="s">
        <v>315</v>
      </c>
      <c r="BE23" s="3" t="s">
        <v>595</v>
      </c>
      <c r="BF23" s="3" t="s">
        <v>596</v>
      </c>
      <c r="BG23" s="3" t="s">
        <v>57</v>
      </c>
      <c r="BH23" s="3" t="s">
        <v>57</v>
      </c>
      <c r="BI23" s="3" t="s">
        <v>57</v>
      </c>
      <c r="BJ23" s="3" t="s">
        <v>57</v>
      </c>
      <c r="BK23" s="3" t="s">
        <v>57</v>
      </c>
      <c r="BL23" s="3" t="s">
        <v>57</v>
      </c>
      <c r="BM23" s="3" t="s">
        <v>57</v>
      </c>
      <c r="BN23" s="3" t="s">
        <v>57</v>
      </c>
      <c r="BO23" s="3" t="s">
        <v>57</v>
      </c>
      <c r="BP23" s="3" t="s">
        <v>774</v>
      </c>
      <c r="BQ23" s="3" t="s">
        <v>511</v>
      </c>
      <c r="BR23" s="3" t="s">
        <v>586</v>
      </c>
      <c r="BS23" s="3" t="s">
        <v>547</v>
      </c>
      <c r="BT23" s="3" t="s">
        <v>548</v>
      </c>
      <c r="BU23" s="3" t="s">
        <v>606</v>
      </c>
      <c r="BX23" s="3" t="s">
        <v>606</v>
      </c>
      <c r="BY23" s="3" t="s">
        <v>586</v>
      </c>
      <c r="CD23" s="3" t="s">
        <v>549</v>
      </c>
      <c r="CE23" s="3" t="s">
        <v>550</v>
      </c>
      <c r="CF23" s="3" t="s">
        <v>542</v>
      </c>
      <c r="CH23" s="3" t="s">
        <v>573</v>
      </c>
      <c r="CI23" s="3" t="s">
        <v>551</v>
      </c>
      <c r="CJ23" s="3" t="s">
        <v>552</v>
      </c>
      <c r="CK23" s="3" t="s">
        <v>775</v>
      </c>
      <c r="CL23" s="3" t="s">
        <v>776</v>
      </c>
      <c r="CM23" s="3" t="s">
        <v>777</v>
      </c>
    </row>
    <row r="24" spans="1:91" x14ac:dyDescent="0.25">
      <c r="A24" s="3" t="s">
        <v>646</v>
      </c>
      <c r="B24" s="3" t="s">
        <v>778</v>
      </c>
      <c r="C24" s="3" t="s">
        <v>206</v>
      </c>
      <c r="D24" s="3" t="s">
        <v>700</v>
      </c>
      <c r="E24" s="3" t="s">
        <v>563</v>
      </c>
      <c r="F24" s="3" t="s">
        <v>564</v>
      </c>
      <c r="G24" s="3" t="s">
        <v>589</v>
      </c>
      <c r="H24" s="3" t="s">
        <v>779</v>
      </c>
      <c r="I24" s="3" t="s">
        <v>780</v>
      </c>
      <c r="J24" s="3" t="s">
        <v>781</v>
      </c>
      <c r="K24" s="3" t="s">
        <v>779</v>
      </c>
      <c r="L24" s="3" t="s">
        <v>569</v>
      </c>
      <c r="M24" s="3" t="s">
        <v>46</v>
      </c>
      <c r="N24" s="3" t="s">
        <v>47</v>
      </c>
      <c r="O24" s="3" t="s">
        <v>48</v>
      </c>
      <c r="P24" s="3" t="s">
        <v>570</v>
      </c>
      <c r="Q24" s="3" t="s">
        <v>571</v>
      </c>
      <c r="R24" s="3" t="s">
        <v>50</v>
      </c>
      <c r="S24" s="3" t="s">
        <v>572</v>
      </c>
      <c r="T24" s="3" t="s">
        <v>49</v>
      </c>
      <c r="U24" s="3" t="s">
        <v>569</v>
      </c>
      <c r="V24" s="3" t="s">
        <v>54</v>
      </c>
      <c r="W24" s="3" t="s">
        <v>68</v>
      </c>
      <c r="X24" s="3" t="s">
        <v>68</v>
      </c>
      <c r="Y24" s="3" t="s">
        <v>70</v>
      </c>
      <c r="Z24" s="3" t="s">
        <v>89</v>
      </c>
      <c r="AA24" s="3" t="s">
        <v>88</v>
      </c>
      <c r="AB24" s="3" t="s">
        <v>69</v>
      </c>
      <c r="AC24" s="3" t="s">
        <v>573</v>
      </c>
      <c r="AD24" s="3" t="s">
        <v>573</v>
      </c>
      <c r="AE24" s="3" t="s">
        <v>782</v>
      </c>
      <c r="AF24" s="3" t="s">
        <v>783</v>
      </c>
      <c r="AG24" s="3" t="s">
        <v>784</v>
      </c>
      <c r="AH24" s="3" t="s">
        <v>785</v>
      </c>
      <c r="AI24" s="3" t="s">
        <v>667</v>
      </c>
      <c r="AJ24" s="3" t="s">
        <v>579</v>
      </c>
      <c r="AK24" s="3" t="s">
        <v>579</v>
      </c>
      <c r="AL24" s="3" t="s">
        <v>573</v>
      </c>
      <c r="AM24" s="3" t="s">
        <v>564</v>
      </c>
      <c r="AN24" s="3" t="s">
        <v>306</v>
      </c>
      <c r="AO24" s="3" t="s">
        <v>311</v>
      </c>
      <c r="AP24" s="3" t="s">
        <v>786</v>
      </c>
      <c r="AQ24" s="3" t="s">
        <v>786</v>
      </c>
      <c r="AR24" s="3" t="s">
        <v>344</v>
      </c>
      <c r="AS24" s="3" t="s">
        <v>571</v>
      </c>
      <c r="AT24" s="3" t="s">
        <v>569</v>
      </c>
      <c r="AU24" s="3" t="s">
        <v>310</v>
      </c>
      <c r="AV24" s="3" t="s">
        <v>787</v>
      </c>
      <c r="AW24" s="3" t="s">
        <v>788</v>
      </c>
      <c r="AX24" s="3" t="s">
        <v>57</v>
      </c>
      <c r="AY24" s="3" t="s">
        <v>57</v>
      </c>
      <c r="BB24" s="3" t="s">
        <v>789</v>
      </c>
      <c r="BC24" s="3" t="s">
        <v>314</v>
      </c>
      <c r="BD24" s="3" t="s">
        <v>315</v>
      </c>
      <c r="BE24" s="3" t="s">
        <v>790</v>
      </c>
      <c r="BF24" s="3" t="s">
        <v>791</v>
      </c>
      <c r="BG24" s="3" t="s">
        <v>57</v>
      </c>
      <c r="BH24" s="3" t="s">
        <v>57</v>
      </c>
      <c r="BI24" s="3" t="s">
        <v>57</v>
      </c>
      <c r="BJ24" s="3" t="s">
        <v>57</v>
      </c>
      <c r="BK24" s="3" t="s">
        <v>57</v>
      </c>
      <c r="BL24" s="3" t="s">
        <v>57</v>
      </c>
      <c r="BM24" s="3" t="s">
        <v>57</v>
      </c>
      <c r="BN24" s="3" t="s">
        <v>57</v>
      </c>
      <c r="BO24" s="3" t="s">
        <v>57</v>
      </c>
      <c r="BP24" s="3" t="s">
        <v>792</v>
      </c>
      <c r="BQ24" s="3" t="s">
        <v>511</v>
      </c>
      <c r="BR24" s="3" t="s">
        <v>586</v>
      </c>
      <c r="BS24" s="3" t="s">
        <v>517</v>
      </c>
      <c r="BT24" s="3" t="s">
        <v>548</v>
      </c>
      <c r="BU24" s="3" t="s">
        <v>621</v>
      </c>
      <c r="BX24" s="3" t="s">
        <v>621</v>
      </c>
      <c r="BY24" s="3" t="s">
        <v>586</v>
      </c>
      <c r="CD24" s="3" t="s">
        <v>527</v>
      </c>
      <c r="CH24" s="3" t="s">
        <v>573</v>
      </c>
      <c r="CI24" s="3" t="s">
        <v>553</v>
      </c>
      <c r="CJ24" s="3" t="s">
        <v>554</v>
      </c>
      <c r="CK24" s="3" t="s">
        <v>793</v>
      </c>
      <c r="CL24" s="3" t="s">
        <v>794</v>
      </c>
      <c r="CM24" s="3" t="s">
        <v>795</v>
      </c>
    </row>
    <row r="25" spans="1:91" x14ac:dyDescent="0.25">
      <c r="A25" s="3" t="s">
        <v>646</v>
      </c>
      <c r="B25" s="3" t="s">
        <v>778</v>
      </c>
      <c r="C25" s="3" t="s">
        <v>206</v>
      </c>
      <c r="D25" s="3" t="s">
        <v>700</v>
      </c>
      <c r="E25" s="3" t="s">
        <v>563</v>
      </c>
      <c r="F25" s="3" t="s">
        <v>564</v>
      </c>
      <c r="G25" s="3" t="s">
        <v>589</v>
      </c>
      <c r="H25" s="3" t="s">
        <v>779</v>
      </c>
      <c r="I25" s="3" t="s">
        <v>780</v>
      </c>
      <c r="J25" s="3" t="s">
        <v>781</v>
      </c>
      <c r="K25" s="3" t="s">
        <v>779</v>
      </c>
      <c r="L25" s="3" t="s">
        <v>569</v>
      </c>
      <c r="M25" s="3" t="s">
        <v>46</v>
      </c>
      <c r="N25" s="3" t="s">
        <v>47</v>
      </c>
      <c r="O25" s="3" t="s">
        <v>48</v>
      </c>
      <c r="P25" s="3" t="s">
        <v>570</v>
      </c>
      <c r="Q25" s="3" t="s">
        <v>571</v>
      </c>
      <c r="R25" s="3" t="s">
        <v>50</v>
      </c>
      <c r="S25" s="3" t="s">
        <v>572</v>
      </c>
      <c r="T25" s="3" t="s">
        <v>49</v>
      </c>
      <c r="U25" s="3" t="s">
        <v>569</v>
      </c>
      <c r="V25" s="3" t="s">
        <v>54</v>
      </c>
      <c r="W25" s="3" t="s">
        <v>68</v>
      </c>
      <c r="X25" s="3" t="s">
        <v>68</v>
      </c>
      <c r="Y25" s="3" t="s">
        <v>70</v>
      </c>
      <c r="Z25" s="3" t="s">
        <v>89</v>
      </c>
      <c r="AA25" s="3" t="s">
        <v>88</v>
      </c>
      <c r="AB25" s="3" t="s">
        <v>69</v>
      </c>
      <c r="AC25" s="3" t="s">
        <v>573</v>
      </c>
      <c r="AD25" s="3" t="s">
        <v>573</v>
      </c>
      <c r="AE25" s="3" t="s">
        <v>782</v>
      </c>
      <c r="AF25" s="3" t="s">
        <v>783</v>
      </c>
      <c r="AG25" s="3" t="s">
        <v>784</v>
      </c>
      <c r="AH25" s="3" t="s">
        <v>785</v>
      </c>
      <c r="AI25" s="3" t="s">
        <v>796</v>
      </c>
      <c r="AJ25" s="3" t="s">
        <v>565</v>
      </c>
      <c r="AK25" s="3" t="s">
        <v>565</v>
      </c>
      <c r="AL25" s="3" t="s">
        <v>589</v>
      </c>
      <c r="AM25" s="3" t="s">
        <v>590</v>
      </c>
      <c r="AN25" s="3" t="s">
        <v>306</v>
      </c>
      <c r="AO25" s="3" t="s">
        <v>311</v>
      </c>
      <c r="AP25" s="3" t="s">
        <v>797</v>
      </c>
      <c r="AQ25" s="3" t="s">
        <v>797</v>
      </c>
      <c r="AR25" s="3" t="s">
        <v>346</v>
      </c>
      <c r="AS25" s="3" t="s">
        <v>798</v>
      </c>
      <c r="AT25" s="3" t="s">
        <v>569</v>
      </c>
      <c r="AU25" s="3" t="s">
        <v>316</v>
      </c>
      <c r="AV25" s="3" t="s">
        <v>592</v>
      </c>
      <c r="AW25" s="3" t="s">
        <v>799</v>
      </c>
      <c r="AX25" s="3" t="s">
        <v>57</v>
      </c>
      <c r="AY25" s="3" t="s">
        <v>57</v>
      </c>
      <c r="BB25" s="3" t="s">
        <v>800</v>
      </c>
      <c r="BC25" s="3" t="s">
        <v>314</v>
      </c>
      <c r="BD25" s="3" t="s">
        <v>315</v>
      </c>
      <c r="BE25" s="3" t="s">
        <v>801</v>
      </c>
      <c r="BF25" s="3" t="s">
        <v>802</v>
      </c>
      <c r="BG25" s="3" t="s">
        <v>57</v>
      </c>
      <c r="BH25" s="3" t="s">
        <v>57</v>
      </c>
      <c r="BI25" s="3" t="s">
        <v>57</v>
      </c>
      <c r="BJ25" s="3" t="s">
        <v>57</v>
      </c>
      <c r="BK25" s="3" t="s">
        <v>57</v>
      </c>
      <c r="BL25" s="3" t="s">
        <v>57</v>
      </c>
      <c r="BM25" s="3" t="s">
        <v>57</v>
      </c>
      <c r="BN25" s="3" t="s">
        <v>57</v>
      </c>
      <c r="BO25" s="3" t="s">
        <v>57</v>
      </c>
      <c r="BP25" s="3" t="s">
        <v>792</v>
      </c>
      <c r="BQ25" s="3" t="s">
        <v>511</v>
      </c>
      <c r="BR25" s="3" t="s">
        <v>586</v>
      </c>
      <c r="BS25" s="3" t="s">
        <v>517</v>
      </c>
      <c r="BT25" s="3" t="s">
        <v>548</v>
      </c>
      <c r="BU25" s="3" t="s">
        <v>621</v>
      </c>
      <c r="BX25" s="3" t="s">
        <v>621</v>
      </c>
      <c r="BY25" s="3" t="s">
        <v>586</v>
      </c>
      <c r="CD25" s="3" t="s">
        <v>527</v>
      </c>
      <c r="CH25" s="3" t="s">
        <v>573</v>
      </c>
      <c r="CI25" s="3" t="s">
        <v>553</v>
      </c>
      <c r="CJ25" s="3" t="s">
        <v>554</v>
      </c>
      <c r="CK25" s="3" t="s">
        <v>793</v>
      </c>
      <c r="CL25" s="3" t="s">
        <v>794</v>
      </c>
      <c r="CM25" s="3" t="s">
        <v>795</v>
      </c>
    </row>
    <row r="26" spans="1:91" x14ac:dyDescent="0.25">
      <c r="A26" s="3" t="s">
        <v>646</v>
      </c>
      <c r="B26" s="3" t="s">
        <v>778</v>
      </c>
      <c r="C26" s="3" t="s">
        <v>206</v>
      </c>
      <c r="D26" s="3" t="s">
        <v>700</v>
      </c>
      <c r="E26" s="3" t="s">
        <v>563</v>
      </c>
      <c r="F26" s="3" t="s">
        <v>564</v>
      </c>
      <c r="G26" s="3" t="s">
        <v>589</v>
      </c>
      <c r="H26" s="3" t="s">
        <v>779</v>
      </c>
      <c r="I26" s="3" t="s">
        <v>780</v>
      </c>
      <c r="J26" s="3" t="s">
        <v>781</v>
      </c>
      <c r="K26" s="3" t="s">
        <v>779</v>
      </c>
      <c r="L26" s="3" t="s">
        <v>569</v>
      </c>
      <c r="M26" s="3" t="s">
        <v>46</v>
      </c>
      <c r="N26" s="3" t="s">
        <v>47</v>
      </c>
      <c r="O26" s="3" t="s">
        <v>48</v>
      </c>
      <c r="P26" s="3" t="s">
        <v>570</v>
      </c>
      <c r="Q26" s="3" t="s">
        <v>571</v>
      </c>
      <c r="R26" s="3" t="s">
        <v>50</v>
      </c>
      <c r="S26" s="3" t="s">
        <v>572</v>
      </c>
      <c r="T26" s="3" t="s">
        <v>49</v>
      </c>
      <c r="U26" s="3" t="s">
        <v>569</v>
      </c>
      <c r="V26" s="3" t="s">
        <v>54</v>
      </c>
      <c r="W26" s="3" t="s">
        <v>68</v>
      </c>
      <c r="X26" s="3" t="s">
        <v>68</v>
      </c>
      <c r="Y26" s="3" t="s">
        <v>70</v>
      </c>
      <c r="Z26" s="3" t="s">
        <v>89</v>
      </c>
      <c r="AA26" s="3" t="s">
        <v>88</v>
      </c>
      <c r="AB26" s="3" t="s">
        <v>69</v>
      </c>
      <c r="AC26" s="3" t="s">
        <v>573</v>
      </c>
      <c r="AD26" s="3" t="s">
        <v>573</v>
      </c>
      <c r="AE26" s="3" t="s">
        <v>782</v>
      </c>
      <c r="AF26" s="3" t="s">
        <v>783</v>
      </c>
      <c r="AG26" s="3" t="s">
        <v>784</v>
      </c>
      <c r="AH26" s="3" t="s">
        <v>785</v>
      </c>
      <c r="AI26" s="3" t="s">
        <v>670</v>
      </c>
      <c r="AJ26" s="3" t="s">
        <v>564</v>
      </c>
      <c r="AK26" s="3" t="s">
        <v>564</v>
      </c>
      <c r="AL26" s="3" t="s">
        <v>669</v>
      </c>
      <c r="AM26" s="3" t="s">
        <v>719</v>
      </c>
      <c r="AN26" s="3" t="s">
        <v>306</v>
      </c>
      <c r="AO26" s="3" t="s">
        <v>311</v>
      </c>
      <c r="AP26" s="3" t="s">
        <v>803</v>
      </c>
      <c r="AQ26" s="3" t="s">
        <v>803</v>
      </c>
      <c r="AR26" s="3" t="s">
        <v>348</v>
      </c>
      <c r="AS26" s="3" t="s">
        <v>571</v>
      </c>
      <c r="AT26" s="3" t="s">
        <v>569</v>
      </c>
      <c r="AU26" s="3" t="s">
        <v>310</v>
      </c>
      <c r="AV26" s="3" t="s">
        <v>635</v>
      </c>
      <c r="AW26" s="3" t="s">
        <v>804</v>
      </c>
      <c r="AX26" s="3" t="s">
        <v>57</v>
      </c>
      <c r="AY26" s="3" t="s">
        <v>57</v>
      </c>
      <c r="BB26" s="3" t="s">
        <v>805</v>
      </c>
      <c r="BC26" s="3" t="s">
        <v>314</v>
      </c>
      <c r="BD26" s="3" t="s">
        <v>315</v>
      </c>
      <c r="BE26" s="3" t="s">
        <v>806</v>
      </c>
      <c r="BF26" s="3" t="s">
        <v>807</v>
      </c>
      <c r="BG26" s="3" t="s">
        <v>57</v>
      </c>
      <c r="BH26" s="3" t="s">
        <v>57</v>
      </c>
      <c r="BI26" s="3" t="s">
        <v>57</v>
      </c>
      <c r="BJ26" s="3" t="s">
        <v>57</v>
      </c>
      <c r="BK26" s="3" t="s">
        <v>57</v>
      </c>
      <c r="BL26" s="3" t="s">
        <v>57</v>
      </c>
      <c r="BM26" s="3" t="s">
        <v>57</v>
      </c>
      <c r="BN26" s="3" t="s">
        <v>57</v>
      </c>
      <c r="BO26" s="3" t="s">
        <v>57</v>
      </c>
      <c r="BP26" s="3" t="s">
        <v>792</v>
      </c>
      <c r="BQ26" s="3" t="s">
        <v>511</v>
      </c>
      <c r="BR26" s="3" t="s">
        <v>586</v>
      </c>
      <c r="BS26" s="3" t="s">
        <v>517</v>
      </c>
      <c r="BT26" s="3" t="s">
        <v>548</v>
      </c>
      <c r="BU26" s="3" t="s">
        <v>621</v>
      </c>
      <c r="BX26" s="3" t="s">
        <v>621</v>
      </c>
      <c r="BY26" s="3" t="s">
        <v>586</v>
      </c>
      <c r="CD26" s="3" t="s">
        <v>527</v>
      </c>
      <c r="CH26" s="3" t="s">
        <v>573</v>
      </c>
      <c r="CI26" s="3" t="s">
        <v>553</v>
      </c>
      <c r="CJ26" s="3" t="s">
        <v>554</v>
      </c>
      <c r="CK26" s="3" t="s">
        <v>793</v>
      </c>
      <c r="CL26" s="3" t="s">
        <v>794</v>
      </c>
      <c r="CM26" s="3" t="s">
        <v>795</v>
      </c>
    </row>
    <row r="27" spans="1:91" x14ac:dyDescent="0.25">
      <c r="A27" s="3" t="s">
        <v>719</v>
      </c>
      <c r="B27" s="3" t="s">
        <v>808</v>
      </c>
      <c r="C27" s="3" t="s">
        <v>98</v>
      </c>
      <c r="D27" s="3" t="s">
        <v>809</v>
      </c>
      <c r="E27" s="3" t="s">
        <v>563</v>
      </c>
      <c r="F27" s="3" t="s">
        <v>565</v>
      </c>
      <c r="G27" s="3" t="s">
        <v>581</v>
      </c>
      <c r="H27" s="3" t="s">
        <v>810</v>
      </c>
      <c r="I27" s="3" t="s">
        <v>811</v>
      </c>
      <c r="J27" s="3" t="s">
        <v>782</v>
      </c>
      <c r="K27" s="3" t="s">
        <v>810</v>
      </c>
      <c r="L27" s="3" t="s">
        <v>569</v>
      </c>
      <c r="M27" s="3" t="s">
        <v>46</v>
      </c>
      <c r="N27" s="3" t="s">
        <v>47</v>
      </c>
      <c r="O27" s="3" t="s">
        <v>48</v>
      </c>
      <c r="P27" s="3" t="s">
        <v>570</v>
      </c>
      <c r="Q27" s="3" t="s">
        <v>571</v>
      </c>
      <c r="R27" s="3" t="s">
        <v>50</v>
      </c>
      <c r="S27" s="3" t="s">
        <v>572</v>
      </c>
      <c r="T27" s="3" t="s">
        <v>49</v>
      </c>
      <c r="U27" s="3" t="s">
        <v>569</v>
      </c>
      <c r="V27" s="3" t="s">
        <v>54</v>
      </c>
      <c r="W27" s="3" t="s">
        <v>68</v>
      </c>
      <c r="X27" s="3" t="s">
        <v>68</v>
      </c>
      <c r="Y27" s="3" t="s">
        <v>70</v>
      </c>
      <c r="Z27" s="3" t="s">
        <v>67</v>
      </c>
      <c r="AA27" s="3" t="s">
        <v>66</v>
      </c>
      <c r="AB27" s="3" t="s">
        <v>69</v>
      </c>
      <c r="AC27" s="3" t="s">
        <v>573</v>
      </c>
      <c r="AD27" s="3" t="s">
        <v>573</v>
      </c>
      <c r="AE27" s="3" t="s">
        <v>812</v>
      </c>
      <c r="AF27" s="3" t="s">
        <v>813</v>
      </c>
      <c r="AG27" s="3" t="s">
        <v>814</v>
      </c>
      <c r="AH27" s="3" t="s">
        <v>814</v>
      </c>
      <c r="AI27" s="3" t="s">
        <v>669</v>
      </c>
      <c r="AJ27" s="3" t="s">
        <v>579</v>
      </c>
      <c r="AK27" s="3" t="s">
        <v>579</v>
      </c>
      <c r="AL27" s="3" t="s">
        <v>573</v>
      </c>
      <c r="AM27" s="3" t="s">
        <v>590</v>
      </c>
      <c r="AN27" s="3" t="s">
        <v>306</v>
      </c>
      <c r="AO27" s="3" t="s">
        <v>311</v>
      </c>
      <c r="AP27" s="3" t="s">
        <v>815</v>
      </c>
      <c r="AQ27" s="3" t="s">
        <v>815</v>
      </c>
      <c r="AR27" s="3" t="s">
        <v>320</v>
      </c>
      <c r="AS27" s="3" t="s">
        <v>816</v>
      </c>
      <c r="AT27" s="3" t="s">
        <v>569</v>
      </c>
      <c r="AU27" s="3" t="s">
        <v>316</v>
      </c>
      <c r="AV27" s="3" t="s">
        <v>582</v>
      </c>
      <c r="AW27" s="3" t="s">
        <v>814</v>
      </c>
      <c r="AX27" s="3" t="s">
        <v>57</v>
      </c>
      <c r="AY27" s="3" t="s">
        <v>57</v>
      </c>
      <c r="BB27" s="3" t="s">
        <v>814</v>
      </c>
      <c r="BC27" s="3" t="s">
        <v>308</v>
      </c>
      <c r="BD27" s="3" t="s">
        <v>309</v>
      </c>
      <c r="BE27" s="3" t="s">
        <v>584</v>
      </c>
      <c r="BF27" s="3" t="s">
        <v>814</v>
      </c>
      <c r="BG27" s="3" t="s">
        <v>57</v>
      </c>
      <c r="BH27" s="3" t="s">
        <v>57</v>
      </c>
      <c r="BI27" s="3" t="s">
        <v>57</v>
      </c>
      <c r="BJ27" s="3" t="s">
        <v>57</v>
      </c>
      <c r="BK27" s="3" t="s">
        <v>57</v>
      </c>
      <c r="BL27" s="3" t="s">
        <v>57</v>
      </c>
      <c r="BM27" s="3" t="s">
        <v>57</v>
      </c>
      <c r="BN27" s="3" t="s">
        <v>57</v>
      </c>
      <c r="BO27" s="3" t="s">
        <v>57</v>
      </c>
      <c r="BP27" s="3" t="s">
        <v>817</v>
      </c>
      <c r="BQ27" s="3" t="s">
        <v>511</v>
      </c>
      <c r="BR27" s="3" t="s">
        <v>586</v>
      </c>
      <c r="BS27" s="3" t="s">
        <v>525</v>
      </c>
      <c r="BT27" s="3" t="s">
        <v>526</v>
      </c>
      <c r="BU27" s="3" t="s">
        <v>816</v>
      </c>
      <c r="BX27" s="3" t="s">
        <v>816</v>
      </c>
      <c r="BY27" s="3" t="s">
        <v>573</v>
      </c>
      <c r="BZ27" s="3" t="s">
        <v>532</v>
      </c>
      <c r="CA27" s="3" t="s">
        <v>710</v>
      </c>
      <c r="CB27" s="3" t="s">
        <v>71</v>
      </c>
      <c r="CC27" s="3" t="s">
        <v>533</v>
      </c>
      <c r="CD27" s="3" t="s">
        <v>527</v>
      </c>
      <c r="CE27" s="3" t="s">
        <v>528</v>
      </c>
      <c r="CF27" s="3" t="s">
        <v>529</v>
      </c>
      <c r="CH27" s="3" t="s">
        <v>573</v>
      </c>
      <c r="CI27" s="3" t="s">
        <v>555</v>
      </c>
      <c r="CJ27" s="3" t="s">
        <v>57</v>
      </c>
      <c r="CK27" s="3" t="s">
        <v>814</v>
      </c>
      <c r="CL27" s="3" t="s">
        <v>584</v>
      </c>
      <c r="CM27" s="3" t="s">
        <v>814</v>
      </c>
    </row>
    <row r="28" spans="1:91" x14ac:dyDescent="0.25">
      <c r="A28" s="3" t="s">
        <v>661</v>
      </c>
      <c r="B28" s="3" t="s">
        <v>818</v>
      </c>
      <c r="C28" s="3" t="s">
        <v>101</v>
      </c>
      <c r="D28" s="3" t="s">
        <v>809</v>
      </c>
      <c r="E28" s="3" t="s">
        <v>563</v>
      </c>
      <c r="F28" s="3" t="s">
        <v>565</v>
      </c>
      <c r="G28" s="3" t="s">
        <v>581</v>
      </c>
      <c r="H28" s="3" t="s">
        <v>819</v>
      </c>
      <c r="I28" s="3" t="s">
        <v>820</v>
      </c>
      <c r="J28" s="3" t="s">
        <v>646</v>
      </c>
      <c r="K28" s="3" t="s">
        <v>819</v>
      </c>
      <c r="L28" s="3" t="s">
        <v>569</v>
      </c>
      <c r="M28" s="3" t="s">
        <v>46</v>
      </c>
      <c r="N28" s="3" t="s">
        <v>47</v>
      </c>
      <c r="O28" s="3" t="s">
        <v>48</v>
      </c>
      <c r="P28" s="3" t="s">
        <v>570</v>
      </c>
      <c r="Q28" s="3" t="s">
        <v>571</v>
      </c>
      <c r="R28" s="3" t="s">
        <v>50</v>
      </c>
      <c r="S28" s="3" t="s">
        <v>572</v>
      </c>
      <c r="T28" s="3" t="s">
        <v>49</v>
      </c>
      <c r="U28" s="3" t="s">
        <v>569</v>
      </c>
      <c r="V28" s="3" t="s">
        <v>54</v>
      </c>
      <c r="W28" s="3" t="s">
        <v>68</v>
      </c>
      <c r="X28" s="3" t="s">
        <v>68</v>
      </c>
      <c r="Y28" s="3" t="s">
        <v>70</v>
      </c>
      <c r="Z28" s="3" t="s">
        <v>89</v>
      </c>
      <c r="AA28" s="3" t="s">
        <v>88</v>
      </c>
      <c r="AB28" s="3" t="s">
        <v>69</v>
      </c>
      <c r="AC28" s="3" t="s">
        <v>573</v>
      </c>
      <c r="AD28" s="3" t="s">
        <v>573</v>
      </c>
      <c r="AE28" s="3" t="s">
        <v>821</v>
      </c>
      <c r="AF28" s="3" t="s">
        <v>822</v>
      </c>
      <c r="AG28" s="3" t="s">
        <v>814</v>
      </c>
      <c r="AH28" s="3" t="s">
        <v>823</v>
      </c>
      <c r="AI28" s="3" t="s">
        <v>579</v>
      </c>
      <c r="AJ28" s="3" t="s">
        <v>579</v>
      </c>
      <c r="AK28" s="3" t="s">
        <v>579</v>
      </c>
      <c r="AL28" s="3" t="s">
        <v>573</v>
      </c>
      <c r="AM28" s="3" t="s">
        <v>565</v>
      </c>
      <c r="AN28" s="3" t="s">
        <v>306</v>
      </c>
      <c r="AO28" s="3" t="s">
        <v>311</v>
      </c>
      <c r="AP28" s="3" t="s">
        <v>815</v>
      </c>
      <c r="AQ28" s="3" t="s">
        <v>815</v>
      </c>
      <c r="AR28" s="3" t="s">
        <v>320</v>
      </c>
      <c r="AS28" s="3" t="s">
        <v>816</v>
      </c>
      <c r="AT28" s="3" t="s">
        <v>569</v>
      </c>
      <c r="AU28" s="3" t="s">
        <v>316</v>
      </c>
      <c r="AV28" s="3" t="s">
        <v>582</v>
      </c>
      <c r="AW28" s="3" t="s">
        <v>814</v>
      </c>
      <c r="AX28" s="3" t="s">
        <v>57</v>
      </c>
      <c r="AY28" s="3" t="s">
        <v>57</v>
      </c>
      <c r="BB28" s="3" t="s">
        <v>814</v>
      </c>
      <c r="BC28" s="3" t="s">
        <v>314</v>
      </c>
      <c r="BD28" s="3" t="s">
        <v>315</v>
      </c>
      <c r="BE28" s="3" t="s">
        <v>824</v>
      </c>
      <c r="BF28" s="3" t="s">
        <v>825</v>
      </c>
      <c r="BG28" s="3" t="s">
        <v>57</v>
      </c>
      <c r="BH28" s="3" t="s">
        <v>57</v>
      </c>
      <c r="BI28" s="3" t="s">
        <v>57</v>
      </c>
      <c r="BJ28" s="3" t="s">
        <v>57</v>
      </c>
      <c r="BK28" s="3" t="s">
        <v>57</v>
      </c>
      <c r="BL28" s="3" t="s">
        <v>57</v>
      </c>
      <c r="BM28" s="3" t="s">
        <v>57</v>
      </c>
      <c r="BN28" s="3" t="s">
        <v>57</v>
      </c>
      <c r="BO28" s="3" t="s">
        <v>57</v>
      </c>
      <c r="BP28" s="3" t="s">
        <v>826</v>
      </c>
      <c r="BQ28" s="3" t="s">
        <v>511</v>
      </c>
      <c r="BR28" s="3" t="s">
        <v>586</v>
      </c>
      <c r="BS28" s="3" t="s">
        <v>525</v>
      </c>
      <c r="BT28" s="3" t="s">
        <v>526</v>
      </c>
      <c r="BU28" s="3" t="s">
        <v>571</v>
      </c>
      <c r="BX28" s="3" t="s">
        <v>571</v>
      </c>
      <c r="BY28" s="3" t="s">
        <v>573</v>
      </c>
      <c r="CB28" s="3" t="s">
        <v>71</v>
      </c>
      <c r="CD28" s="3" t="s">
        <v>527</v>
      </c>
      <c r="CE28" s="3" t="s">
        <v>528</v>
      </c>
      <c r="CF28" s="3" t="s">
        <v>529</v>
      </c>
      <c r="CH28" s="3" t="s">
        <v>573</v>
      </c>
      <c r="CI28" s="3" t="s">
        <v>556</v>
      </c>
      <c r="CJ28" s="3" t="s">
        <v>57</v>
      </c>
      <c r="CK28" s="3" t="s">
        <v>823</v>
      </c>
      <c r="CL28" s="3" t="s">
        <v>584</v>
      </c>
      <c r="CM28" s="3" t="s">
        <v>823</v>
      </c>
    </row>
    <row r="29" spans="1:91" x14ac:dyDescent="0.25">
      <c r="A29" s="3" t="s">
        <v>590</v>
      </c>
      <c r="B29" s="3" t="s">
        <v>827</v>
      </c>
      <c r="C29" s="3" t="s">
        <v>87</v>
      </c>
      <c r="D29" s="3" t="s">
        <v>828</v>
      </c>
      <c r="E29" s="3" t="s">
        <v>563</v>
      </c>
      <c r="F29" s="3" t="s">
        <v>565</v>
      </c>
      <c r="G29" s="3" t="s">
        <v>660</v>
      </c>
      <c r="H29" s="3" t="s">
        <v>829</v>
      </c>
      <c r="I29" s="3" t="s">
        <v>830</v>
      </c>
      <c r="J29" s="3" t="s">
        <v>831</v>
      </c>
      <c r="K29" s="3" t="s">
        <v>829</v>
      </c>
      <c r="L29" s="3" t="s">
        <v>569</v>
      </c>
      <c r="M29" s="3" t="s">
        <v>46</v>
      </c>
      <c r="N29" s="3" t="s">
        <v>47</v>
      </c>
      <c r="O29" s="3" t="s">
        <v>48</v>
      </c>
      <c r="P29" s="3" t="s">
        <v>570</v>
      </c>
      <c r="Q29" s="3" t="s">
        <v>571</v>
      </c>
      <c r="R29" s="3" t="s">
        <v>50</v>
      </c>
      <c r="S29" s="3" t="s">
        <v>572</v>
      </c>
      <c r="T29" s="3" t="s">
        <v>49</v>
      </c>
      <c r="U29" s="3" t="s">
        <v>569</v>
      </c>
      <c r="V29" s="3" t="s">
        <v>54</v>
      </c>
      <c r="W29" s="3" t="s">
        <v>68</v>
      </c>
      <c r="X29" s="3" t="s">
        <v>68</v>
      </c>
      <c r="Y29" s="3" t="s">
        <v>70</v>
      </c>
      <c r="Z29" s="3" t="s">
        <v>89</v>
      </c>
      <c r="AA29" s="3" t="s">
        <v>88</v>
      </c>
      <c r="AB29" s="3" t="s">
        <v>69</v>
      </c>
      <c r="AC29" s="3" t="s">
        <v>832</v>
      </c>
      <c r="AD29" s="3" t="s">
        <v>832</v>
      </c>
      <c r="AE29" s="3" t="s">
        <v>833</v>
      </c>
      <c r="AF29" s="3" t="s">
        <v>834</v>
      </c>
      <c r="AG29" s="3" t="s">
        <v>835</v>
      </c>
      <c r="AH29" s="3" t="s">
        <v>836</v>
      </c>
      <c r="AI29" s="3" t="s">
        <v>589</v>
      </c>
      <c r="AJ29" s="3" t="s">
        <v>579</v>
      </c>
      <c r="AK29" s="3" t="s">
        <v>579</v>
      </c>
      <c r="AL29" s="3" t="s">
        <v>573</v>
      </c>
      <c r="AM29" s="3" t="s">
        <v>565</v>
      </c>
      <c r="AN29" s="3" t="s">
        <v>306</v>
      </c>
      <c r="AO29" s="3" t="s">
        <v>311</v>
      </c>
      <c r="AP29" s="3" t="s">
        <v>837</v>
      </c>
      <c r="AQ29" s="3" t="s">
        <v>837</v>
      </c>
      <c r="AR29" s="3" t="s">
        <v>313</v>
      </c>
      <c r="AS29" s="3" t="s">
        <v>578</v>
      </c>
      <c r="AT29" s="3" t="s">
        <v>569</v>
      </c>
      <c r="AU29" s="3" t="s">
        <v>316</v>
      </c>
      <c r="AV29" s="3" t="s">
        <v>582</v>
      </c>
      <c r="AW29" s="3" t="s">
        <v>838</v>
      </c>
      <c r="AX29" s="3" t="s">
        <v>838</v>
      </c>
      <c r="AY29" s="3" t="s">
        <v>839</v>
      </c>
      <c r="AZ29" s="3" t="s">
        <v>317</v>
      </c>
      <c r="BA29" s="3" t="s">
        <v>318</v>
      </c>
      <c r="BB29" s="3" t="s">
        <v>835</v>
      </c>
      <c r="BC29" s="3" t="s">
        <v>314</v>
      </c>
      <c r="BD29" s="3" t="s">
        <v>315</v>
      </c>
      <c r="BE29" s="3" t="s">
        <v>840</v>
      </c>
      <c r="BF29" s="3" t="s">
        <v>841</v>
      </c>
      <c r="BG29" s="3" t="s">
        <v>57</v>
      </c>
      <c r="BH29" s="3" t="s">
        <v>57</v>
      </c>
      <c r="BI29" s="3" t="s">
        <v>57</v>
      </c>
      <c r="BJ29" s="3" t="s">
        <v>57</v>
      </c>
      <c r="BK29" s="3" t="s">
        <v>57</v>
      </c>
      <c r="BL29" s="3" t="s">
        <v>57</v>
      </c>
      <c r="BM29" s="3" t="s">
        <v>57</v>
      </c>
      <c r="BN29" s="3" t="s">
        <v>57</v>
      </c>
      <c r="BO29" s="3" t="s">
        <v>57</v>
      </c>
      <c r="BP29" s="3" t="s">
        <v>842</v>
      </c>
      <c r="BQ29" s="3" t="s">
        <v>511</v>
      </c>
      <c r="BR29" s="3" t="s">
        <v>586</v>
      </c>
      <c r="BU29" s="3" t="s">
        <v>571</v>
      </c>
      <c r="BX29" s="3" t="s">
        <v>571</v>
      </c>
      <c r="CH29" s="3" t="s">
        <v>573</v>
      </c>
      <c r="CI29" s="3" t="s">
        <v>557</v>
      </c>
      <c r="CJ29" s="3" t="s">
        <v>57</v>
      </c>
      <c r="CK29" s="3" t="s">
        <v>836</v>
      </c>
      <c r="CL29" s="3" t="s">
        <v>584</v>
      </c>
      <c r="CM29" s="3" t="s">
        <v>836</v>
      </c>
    </row>
    <row r="30" spans="1:91" x14ac:dyDescent="0.25">
      <c r="A30" s="3" t="s">
        <v>579</v>
      </c>
      <c r="B30" s="3" t="s">
        <v>843</v>
      </c>
      <c r="C30" s="3" t="s">
        <v>65</v>
      </c>
      <c r="D30" s="3" t="s">
        <v>844</v>
      </c>
      <c r="E30" s="3" t="s">
        <v>563</v>
      </c>
      <c r="F30" s="3" t="s">
        <v>565</v>
      </c>
      <c r="G30" s="3" t="s">
        <v>624</v>
      </c>
      <c r="H30" s="3" t="s">
        <v>845</v>
      </c>
      <c r="I30" s="3" t="s">
        <v>846</v>
      </c>
      <c r="J30" s="3" t="s">
        <v>694</v>
      </c>
      <c r="K30" s="3" t="s">
        <v>845</v>
      </c>
      <c r="L30" s="3" t="s">
        <v>569</v>
      </c>
      <c r="M30" s="3" t="s">
        <v>46</v>
      </c>
      <c r="N30" s="3" t="s">
        <v>47</v>
      </c>
      <c r="O30" s="3" t="s">
        <v>48</v>
      </c>
      <c r="P30" s="3" t="s">
        <v>570</v>
      </c>
      <c r="Q30" s="3" t="s">
        <v>571</v>
      </c>
      <c r="R30" s="3" t="s">
        <v>50</v>
      </c>
      <c r="S30" s="3" t="s">
        <v>572</v>
      </c>
      <c r="T30" s="3" t="s">
        <v>49</v>
      </c>
      <c r="U30" s="3" t="s">
        <v>569</v>
      </c>
      <c r="V30" s="3" t="s">
        <v>54</v>
      </c>
      <c r="W30" s="3" t="s">
        <v>68</v>
      </c>
      <c r="X30" s="3" t="s">
        <v>68</v>
      </c>
      <c r="Y30" s="3" t="s">
        <v>70</v>
      </c>
      <c r="Z30" s="3" t="s">
        <v>67</v>
      </c>
      <c r="AA30" s="3" t="s">
        <v>66</v>
      </c>
      <c r="AB30" s="3" t="s">
        <v>69</v>
      </c>
      <c r="AC30" s="3" t="s">
        <v>573</v>
      </c>
      <c r="AD30" s="3" t="s">
        <v>573</v>
      </c>
      <c r="AE30" s="3" t="s">
        <v>847</v>
      </c>
      <c r="AF30" s="3" t="s">
        <v>644</v>
      </c>
      <c r="AG30" s="3" t="s">
        <v>848</v>
      </c>
      <c r="AH30" s="3" t="s">
        <v>848</v>
      </c>
      <c r="AI30" s="3" t="s">
        <v>573</v>
      </c>
      <c r="AJ30" s="3" t="s">
        <v>579</v>
      </c>
      <c r="AK30" s="3" t="s">
        <v>579</v>
      </c>
      <c r="AL30" s="3" t="s">
        <v>573</v>
      </c>
      <c r="AM30" s="3" t="s">
        <v>565</v>
      </c>
      <c r="AN30" s="3" t="s">
        <v>306</v>
      </c>
      <c r="AO30" s="3" t="s">
        <v>311</v>
      </c>
      <c r="AP30" s="3" t="s">
        <v>849</v>
      </c>
      <c r="AQ30" s="3" t="s">
        <v>849</v>
      </c>
      <c r="AR30" s="3" t="s">
        <v>307</v>
      </c>
      <c r="AS30" s="3" t="s">
        <v>705</v>
      </c>
      <c r="AT30" s="3" t="s">
        <v>569</v>
      </c>
      <c r="AU30" s="3" t="s">
        <v>310</v>
      </c>
      <c r="AV30" s="3" t="s">
        <v>582</v>
      </c>
      <c r="AW30" s="3" t="s">
        <v>848</v>
      </c>
      <c r="AX30" s="3" t="s">
        <v>57</v>
      </c>
      <c r="AY30" s="3" t="s">
        <v>57</v>
      </c>
      <c r="BB30" s="3" t="s">
        <v>848</v>
      </c>
      <c r="BC30" s="3" t="s">
        <v>308</v>
      </c>
      <c r="BD30" s="3" t="s">
        <v>309</v>
      </c>
      <c r="BE30" s="3" t="s">
        <v>584</v>
      </c>
      <c r="BF30" s="3" t="s">
        <v>848</v>
      </c>
      <c r="BG30" s="3" t="s">
        <v>57</v>
      </c>
      <c r="BH30" s="3" t="s">
        <v>57</v>
      </c>
      <c r="BI30" s="3" t="s">
        <v>57</v>
      </c>
      <c r="BJ30" s="3" t="s">
        <v>57</v>
      </c>
      <c r="BK30" s="3" t="s">
        <v>57</v>
      </c>
      <c r="BL30" s="3" t="s">
        <v>57</v>
      </c>
      <c r="BM30" s="3" t="s">
        <v>57</v>
      </c>
      <c r="BN30" s="3" t="s">
        <v>57</v>
      </c>
      <c r="BO30" s="3" t="s">
        <v>57</v>
      </c>
      <c r="BP30" s="3" t="s">
        <v>850</v>
      </c>
      <c r="BQ30" s="3" t="s">
        <v>511</v>
      </c>
      <c r="BR30" s="3" t="s">
        <v>586</v>
      </c>
      <c r="BS30" s="3" t="s">
        <v>525</v>
      </c>
      <c r="BT30" s="3" t="s">
        <v>526</v>
      </c>
      <c r="BU30" s="3" t="s">
        <v>851</v>
      </c>
      <c r="BX30" s="3" t="s">
        <v>851</v>
      </c>
      <c r="BY30" s="3" t="s">
        <v>573</v>
      </c>
      <c r="BZ30" s="3" t="s">
        <v>532</v>
      </c>
      <c r="CA30" s="3" t="s">
        <v>710</v>
      </c>
      <c r="CB30" s="3" t="s">
        <v>71</v>
      </c>
      <c r="CC30" s="3" t="s">
        <v>533</v>
      </c>
      <c r="CD30" s="3" t="s">
        <v>527</v>
      </c>
      <c r="CE30" s="3" t="s">
        <v>528</v>
      </c>
      <c r="CF30" s="3" t="s">
        <v>529</v>
      </c>
      <c r="CH30" s="3" t="s">
        <v>573</v>
      </c>
      <c r="CI30" s="3" t="s">
        <v>558</v>
      </c>
      <c r="CJ30" s="3" t="s">
        <v>57</v>
      </c>
      <c r="CK30" s="3" t="s">
        <v>848</v>
      </c>
      <c r="CL30" s="3" t="s">
        <v>584</v>
      </c>
      <c r="CM30" s="3" t="s">
        <v>848</v>
      </c>
    </row>
    <row r="31" spans="1:91" x14ac:dyDescent="0.25">
      <c r="A31" s="3" t="s">
        <v>834</v>
      </c>
      <c r="B31" s="3" t="s">
        <v>852</v>
      </c>
      <c r="C31" s="3" t="s">
        <v>165</v>
      </c>
      <c r="D31" s="3" t="s">
        <v>853</v>
      </c>
      <c r="E31" s="3" t="s">
        <v>563</v>
      </c>
      <c r="F31" s="3" t="s">
        <v>565</v>
      </c>
      <c r="G31" s="3" t="s">
        <v>606</v>
      </c>
      <c r="H31" s="3" t="s">
        <v>854</v>
      </c>
      <c r="I31" s="3" t="s">
        <v>855</v>
      </c>
      <c r="J31" s="3" t="s">
        <v>856</v>
      </c>
      <c r="K31" s="3" t="s">
        <v>854</v>
      </c>
      <c r="L31" s="3" t="s">
        <v>569</v>
      </c>
      <c r="M31" s="3" t="s">
        <v>46</v>
      </c>
      <c r="N31" s="3" t="s">
        <v>162</v>
      </c>
      <c r="Q31" s="3" t="s">
        <v>669</v>
      </c>
      <c r="R31" s="3" t="s">
        <v>50</v>
      </c>
      <c r="S31" s="3" t="s">
        <v>572</v>
      </c>
      <c r="T31" s="3" t="s">
        <v>49</v>
      </c>
      <c r="U31" s="3" t="s">
        <v>569</v>
      </c>
      <c r="V31" s="3" t="s">
        <v>54</v>
      </c>
      <c r="W31" s="3" t="s">
        <v>68</v>
      </c>
      <c r="X31" s="3" t="s">
        <v>68</v>
      </c>
      <c r="Y31" s="3" t="s">
        <v>70</v>
      </c>
      <c r="Z31" s="3" t="s">
        <v>89</v>
      </c>
      <c r="AA31" s="3" t="s">
        <v>88</v>
      </c>
      <c r="AB31" s="3" t="s">
        <v>69</v>
      </c>
      <c r="AC31" s="3" t="s">
        <v>573</v>
      </c>
      <c r="AD31" s="3" t="s">
        <v>573</v>
      </c>
      <c r="AE31" s="3" t="s">
        <v>857</v>
      </c>
      <c r="AF31" s="3" t="s">
        <v>633</v>
      </c>
      <c r="AG31" s="3" t="s">
        <v>814</v>
      </c>
      <c r="AH31" s="3" t="s">
        <v>814</v>
      </c>
      <c r="AI31" s="3" t="s">
        <v>719</v>
      </c>
      <c r="AJ31" s="3" t="s">
        <v>579</v>
      </c>
      <c r="AK31" s="3" t="s">
        <v>579</v>
      </c>
      <c r="AL31" s="3" t="s">
        <v>573</v>
      </c>
      <c r="AM31" s="3" t="s">
        <v>565</v>
      </c>
      <c r="AN31" s="3" t="s">
        <v>306</v>
      </c>
      <c r="AO31" s="3" t="s">
        <v>311</v>
      </c>
      <c r="AP31" s="3" t="s">
        <v>858</v>
      </c>
      <c r="AQ31" s="3" t="s">
        <v>858</v>
      </c>
      <c r="AR31" s="3" t="s">
        <v>337</v>
      </c>
      <c r="AS31" s="3" t="s">
        <v>581</v>
      </c>
      <c r="AT31" s="3" t="s">
        <v>569</v>
      </c>
      <c r="AU31" s="3" t="s">
        <v>316</v>
      </c>
      <c r="AV31" s="3" t="s">
        <v>582</v>
      </c>
      <c r="AW31" s="3" t="s">
        <v>814</v>
      </c>
      <c r="AX31" s="3" t="s">
        <v>57</v>
      </c>
      <c r="AY31" s="3" t="s">
        <v>57</v>
      </c>
      <c r="BB31" s="3" t="s">
        <v>814</v>
      </c>
      <c r="BC31" s="3" t="s">
        <v>308</v>
      </c>
      <c r="BD31" s="3" t="s">
        <v>335</v>
      </c>
      <c r="BE31" s="3" t="s">
        <v>584</v>
      </c>
      <c r="BF31" s="3" t="s">
        <v>814</v>
      </c>
      <c r="BG31" s="3" t="s">
        <v>57</v>
      </c>
      <c r="BH31" s="3" t="s">
        <v>57</v>
      </c>
      <c r="BI31" s="3" t="s">
        <v>57</v>
      </c>
      <c r="BJ31" s="3" t="s">
        <v>57</v>
      </c>
      <c r="BK31" s="3" t="s">
        <v>57</v>
      </c>
      <c r="BL31" s="3" t="s">
        <v>57</v>
      </c>
      <c r="BM31" s="3" t="s">
        <v>57</v>
      </c>
      <c r="BN31" s="3" t="s">
        <v>57</v>
      </c>
      <c r="BO31" s="3" t="s">
        <v>57</v>
      </c>
      <c r="BP31" s="3" t="s">
        <v>859</v>
      </c>
      <c r="BQ31" s="3" t="s">
        <v>511</v>
      </c>
      <c r="BR31" s="3" t="s">
        <v>586</v>
      </c>
      <c r="BU31" s="3" t="s">
        <v>621</v>
      </c>
      <c r="BX31" s="3" t="s">
        <v>621</v>
      </c>
      <c r="CH31" s="3" t="s">
        <v>573</v>
      </c>
      <c r="CI31" s="3" t="s">
        <v>559</v>
      </c>
      <c r="CJ31" s="3" t="s">
        <v>57</v>
      </c>
      <c r="CK31" s="3" t="s">
        <v>814</v>
      </c>
      <c r="CL31" s="3" t="s">
        <v>584</v>
      </c>
      <c r="CM31" s="3" t="s">
        <v>814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47A5-625C-493E-83E7-FEDE8871448B}">
  <dimension ref="A1:A208"/>
  <sheetViews>
    <sheetView workbookViewId="0">
      <selection activeCell="B7" sqref="B7"/>
    </sheetView>
  </sheetViews>
  <sheetFormatPr baseColWidth="10" defaultRowHeight="15" x14ac:dyDescent="0.25"/>
  <sheetData>
    <row r="1" spans="1:1" x14ac:dyDescent="0.25">
      <c r="A1" t="s">
        <v>866</v>
      </c>
    </row>
    <row r="2" spans="1:1" x14ac:dyDescent="0.25">
      <c r="A2" t="s">
        <v>867</v>
      </c>
    </row>
    <row r="4" spans="1:1" x14ac:dyDescent="0.25">
      <c r="A4" t="s">
        <v>868</v>
      </c>
    </row>
    <row r="5" spans="1:1" x14ac:dyDescent="0.25">
      <c r="A5" t="s">
        <v>869</v>
      </c>
    </row>
    <row r="6" spans="1:1" x14ac:dyDescent="0.25">
      <c r="A6" t="s">
        <v>867</v>
      </c>
    </row>
    <row r="8" spans="1:1" x14ac:dyDescent="0.25">
      <c r="A8" t="s">
        <v>870</v>
      </c>
    </row>
    <row r="9" spans="1:1" x14ac:dyDescent="0.25">
      <c r="A9" t="s">
        <v>867</v>
      </c>
    </row>
    <row r="12" spans="1:1" x14ac:dyDescent="0.25">
      <c r="A12" t="s">
        <v>871</v>
      </c>
    </row>
    <row r="13" spans="1:1" x14ac:dyDescent="0.25">
      <c r="A13" t="s">
        <v>872</v>
      </c>
    </row>
    <row r="14" spans="1:1" x14ac:dyDescent="0.25">
      <c r="A14" t="s">
        <v>873</v>
      </c>
    </row>
    <row r="15" spans="1:1" x14ac:dyDescent="0.25">
      <c r="A15" t="e" cm="1">
        <f t="array" ref="A15">-- inmediatamente después de WorkstationDesc.</f>
        <v>#NAME?</v>
      </c>
    </row>
    <row r="16" spans="1:1" x14ac:dyDescent="0.25">
      <c r="A16" t="s">
        <v>871</v>
      </c>
    </row>
    <row r="18" spans="1:1" x14ac:dyDescent="0.25">
      <c r="A18" t="s">
        <v>874</v>
      </c>
    </row>
    <row r="19" spans="1:1" x14ac:dyDescent="0.25">
      <c r="A19" t="s">
        <v>875</v>
      </c>
    </row>
    <row r="20" spans="1:1" x14ac:dyDescent="0.25">
      <c r="A20" t="s">
        <v>876</v>
      </c>
    </row>
    <row r="21" spans="1:1" x14ac:dyDescent="0.25">
      <c r="A21" t="s">
        <v>877</v>
      </c>
    </row>
    <row r="22" spans="1:1" x14ac:dyDescent="0.25">
      <c r="A22" t="s">
        <v>876</v>
      </c>
    </row>
    <row r="23" spans="1:1" x14ac:dyDescent="0.25">
      <c r="A23" t="s">
        <v>878</v>
      </c>
    </row>
    <row r="24" spans="1:1" x14ac:dyDescent="0.25">
      <c r="A24" t="s">
        <v>879</v>
      </c>
    </row>
    <row r="25" spans="1:1" x14ac:dyDescent="0.25">
      <c r="A25" t="s">
        <v>880</v>
      </c>
    </row>
    <row r="26" spans="1:1" x14ac:dyDescent="0.25">
      <c r="A26" t="s">
        <v>881</v>
      </c>
    </row>
    <row r="27" spans="1:1" x14ac:dyDescent="0.25">
      <c r="A27" t="s">
        <v>882</v>
      </c>
    </row>
    <row r="28" spans="1:1" x14ac:dyDescent="0.25">
      <c r="A28" t="s">
        <v>883</v>
      </c>
    </row>
    <row r="29" spans="1:1" x14ac:dyDescent="0.25">
      <c r="A29" t="s">
        <v>884</v>
      </c>
    </row>
    <row r="30" spans="1:1" x14ac:dyDescent="0.25">
      <c r="A30" t="s">
        <v>885</v>
      </c>
    </row>
    <row r="31" spans="1:1" x14ac:dyDescent="0.25">
      <c r="A31" t="s">
        <v>886</v>
      </c>
    </row>
    <row r="32" spans="1:1" x14ac:dyDescent="0.25">
      <c r="A32" t="s">
        <v>881</v>
      </c>
    </row>
    <row r="33" spans="1:1" x14ac:dyDescent="0.25">
      <c r="A33" t="s">
        <v>887</v>
      </c>
    </row>
    <row r="34" spans="1:1" x14ac:dyDescent="0.25">
      <c r="A34" t="s">
        <v>888</v>
      </c>
    </row>
    <row r="35" spans="1:1" x14ac:dyDescent="0.25">
      <c r="A35" t="s">
        <v>884</v>
      </c>
    </row>
    <row r="36" spans="1:1" x14ac:dyDescent="0.25">
      <c r="A36" t="s">
        <v>885</v>
      </c>
    </row>
    <row r="37" spans="1:1" x14ac:dyDescent="0.25">
      <c r="A37" t="s">
        <v>889</v>
      </c>
    </row>
    <row r="38" spans="1:1" x14ac:dyDescent="0.25">
      <c r="A38" t="s">
        <v>890</v>
      </c>
    </row>
    <row r="39" spans="1:1" x14ac:dyDescent="0.25">
      <c r="A39" t="s">
        <v>891</v>
      </c>
    </row>
    <row r="40" spans="1:1" x14ac:dyDescent="0.25">
      <c r="A40" t="s">
        <v>892</v>
      </c>
    </row>
    <row r="41" spans="1:1" x14ac:dyDescent="0.25">
      <c r="A41" t="s">
        <v>893</v>
      </c>
    </row>
    <row r="42" spans="1:1" x14ac:dyDescent="0.25">
      <c r="A42" t="s">
        <v>894</v>
      </c>
    </row>
    <row r="43" spans="1:1" x14ac:dyDescent="0.25">
      <c r="A43" t="s">
        <v>895</v>
      </c>
    </row>
    <row r="44" spans="1:1" x14ac:dyDescent="0.25">
      <c r="A44" t="s">
        <v>896</v>
      </c>
    </row>
    <row r="46" spans="1:1" x14ac:dyDescent="0.25">
      <c r="A46" t="s">
        <v>876</v>
      </c>
    </row>
    <row r="47" spans="1:1" x14ac:dyDescent="0.25">
      <c r="A47" t="e" cm="1">
        <f t="array" ref="A47">-- CTE: autorizacion de devolucion</f>
        <v>#NAME?</v>
      </c>
    </row>
    <row r="48" spans="1:1" x14ac:dyDescent="0.25">
      <c r="A48" t="s">
        <v>876</v>
      </c>
    </row>
    <row r="49" spans="1:1" x14ac:dyDescent="0.25">
      <c r="A49" t="s">
        <v>897</v>
      </c>
    </row>
    <row r="50" spans="1:1" x14ac:dyDescent="0.25">
      <c r="A50" t="s">
        <v>879</v>
      </c>
    </row>
    <row r="51" spans="1:1" x14ac:dyDescent="0.25">
      <c r="A51" t="s">
        <v>880</v>
      </c>
    </row>
    <row r="52" spans="1:1" x14ac:dyDescent="0.25">
      <c r="A52" t="s">
        <v>898</v>
      </c>
    </row>
    <row r="53" spans="1:1" x14ac:dyDescent="0.25">
      <c r="A53" t="s">
        <v>899</v>
      </c>
    </row>
    <row r="54" spans="1:1" x14ac:dyDescent="0.25">
      <c r="A54" t="s">
        <v>900</v>
      </c>
    </row>
    <row r="55" spans="1:1" x14ac:dyDescent="0.25">
      <c r="A55" t="s">
        <v>901</v>
      </c>
    </row>
    <row r="56" spans="1:1" x14ac:dyDescent="0.25">
      <c r="A56" t="s">
        <v>902</v>
      </c>
    </row>
    <row r="57" spans="1:1" x14ac:dyDescent="0.25">
      <c r="A57" t="s">
        <v>903</v>
      </c>
    </row>
    <row r="58" spans="1:1" x14ac:dyDescent="0.25">
      <c r="A58" t="s">
        <v>904</v>
      </c>
    </row>
    <row r="60" spans="1:1" x14ac:dyDescent="0.25">
      <c r="A60" t="s">
        <v>871</v>
      </c>
    </row>
    <row r="61" spans="1:1" x14ac:dyDescent="0.25">
      <c r="A61" t="e" cm="1">
        <f t="array" ref="A61">-- CONSULTA PRINCIPAL</f>
        <v>#NAME?</v>
      </c>
    </row>
    <row r="62" spans="1:1" x14ac:dyDescent="0.25">
      <c r="A62" t="s">
        <v>871</v>
      </c>
    </row>
    <row r="63" spans="1:1" x14ac:dyDescent="0.25">
      <c r="A63" t="s">
        <v>905</v>
      </c>
    </row>
    <row r="64" spans="1:1" x14ac:dyDescent="0.25">
      <c r="A64" t="s">
        <v>906</v>
      </c>
    </row>
    <row r="65" spans="1:1" x14ac:dyDescent="0.25">
      <c r="A65" t="s">
        <v>907</v>
      </c>
    </row>
    <row r="66" spans="1:1" x14ac:dyDescent="0.25">
      <c r="A66" t="s">
        <v>906</v>
      </c>
    </row>
    <row r="67" spans="1:1" x14ac:dyDescent="0.25">
      <c r="A67" t="s">
        <v>908</v>
      </c>
    </row>
    <row r="68" spans="1:1" x14ac:dyDescent="0.25">
      <c r="A68" t="s">
        <v>909</v>
      </c>
    </row>
    <row r="69" spans="1:1" x14ac:dyDescent="0.25">
      <c r="A69" t="s">
        <v>910</v>
      </c>
    </row>
    <row r="71" spans="1:1" x14ac:dyDescent="0.25">
      <c r="A71" t="s">
        <v>906</v>
      </c>
    </row>
    <row r="72" spans="1:1" x14ac:dyDescent="0.25">
      <c r="A72" t="s">
        <v>911</v>
      </c>
    </row>
    <row r="73" spans="1:1" x14ac:dyDescent="0.25">
      <c r="A73" t="s">
        <v>906</v>
      </c>
    </row>
    <row r="74" spans="1:1" x14ac:dyDescent="0.25">
      <c r="A74" t="s">
        <v>912</v>
      </c>
    </row>
    <row r="75" spans="1:1" x14ac:dyDescent="0.25">
      <c r="A75" t="s">
        <v>913</v>
      </c>
    </row>
    <row r="76" spans="1:1" x14ac:dyDescent="0.25">
      <c r="A76" t="s">
        <v>914</v>
      </c>
    </row>
    <row r="77" spans="1:1" x14ac:dyDescent="0.25">
      <c r="A77" t="s">
        <v>915</v>
      </c>
    </row>
    <row r="78" spans="1:1" x14ac:dyDescent="0.25">
      <c r="A78" t="s">
        <v>916</v>
      </c>
    </row>
    <row r="79" spans="1:1" x14ac:dyDescent="0.25">
      <c r="A79" t="s">
        <v>917</v>
      </c>
    </row>
    <row r="80" spans="1:1" x14ac:dyDescent="0.25">
      <c r="A80" t="s">
        <v>918</v>
      </c>
    </row>
    <row r="81" spans="1:1" x14ac:dyDescent="0.25">
      <c r="A81" t="s">
        <v>919</v>
      </c>
    </row>
    <row r="82" spans="1:1" x14ac:dyDescent="0.25">
      <c r="A82" t="s">
        <v>920</v>
      </c>
    </row>
    <row r="83" spans="1:1" x14ac:dyDescent="0.25">
      <c r="A83" t="s">
        <v>921</v>
      </c>
    </row>
    <row r="85" spans="1:1" x14ac:dyDescent="0.25">
      <c r="A85" t="s">
        <v>906</v>
      </c>
    </row>
    <row r="86" spans="1:1" x14ac:dyDescent="0.25">
      <c r="A86" t="s">
        <v>922</v>
      </c>
    </row>
    <row r="87" spans="1:1" x14ac:dyDescent="0.25">
      <c r="A87" t="s">
        <v>906</v>
      </c>
    </row>
    <row r="88" spans="1:1" x14ac:dyDescent="0.25">
      <c r="A88" t="s">
        <v>923</v>
      </c>
    </row>
    <row r="89" spans="1:1" x14ac:dyDescent="0.25">
      <c r="A89" t="s">
        <v>924</v>
      </c>
    </row>
    <row r="90" spans="1:1" x14ac:dyDescent="0.25">
      <c r="A90" t="s">
        <v>925</v>
      </c>
    </row>
    <row r="91" spans="1:1" x14ac:dyDescent="0.25">
      <c r="A91" t="s">
        <v>926</v>
      </c>
    </row>
    <row r="92" spans="1:1" x14ac:dyDescent="0.25">
      <c r="A92" t="s">
        <v>927</v>
      </c>
    </row>
    <row r="93" spans="1:1" x14ac:dyDescent="0.25">
      <c r="A93" t="s">
        <v>928</v>
      </c>
    </row>
    <row r="94" spans="1:1" x14ac:dyDescent="0.25">
      <c r="A94" t="s">
        <v>929</v>
      </c>
    </row>
    <row r="95" spans="1:1" x14ac:dyDescent="0.25">
      <c r="A95" t="s">
        <v>930</v>
      </c>
    </row>
    <row r="96" spans="1:1" x14ac:dyDescent="0.25">
      <c r="A96" t="s">
        <v>931</v>
      </c>
    </row>
    <row r="97" spans="1:1" x14ac:dyDescent="0.25">
      <c r="A97" t="s">
        <v>932</v>
      </c>
    </row>
    <row r="98" spans="1:1" x14ac:dyDescent="0.25">
      <c r="A98" t="s">
        <v>933</v>
      </c>
    </row>
    <row r="100" spans="1:1" x14ac:dyDescent="0.25">
      <c r="A100" t="s">
        <v>906</v>
      </c>
    </row>
    <row r="101" spans="1:1" x14ac:dyDescent="0.25">
      <c r="A101" t="s">
        <v>934</v>
      </c>
    </row>
    <row r="102" spans="1:1" x14ac:dyDescent="0.25">
      <c r="A102" t="s">
        <v>906</v>
      </c>
    </row>
    <row r="103" spans="1:1" x14ac:dyDescent="0.25">
      <c r="A103" t="s">
        <v>935</v>
      </c>
    </row>
    <row r="104" spans="1:1" x14ac:dyDescent="0.25">
      <c r="A104" t="s">
        <v>936</v>
      </c>
    </row>
    <row r="105" spans="1:1" x14ac:dyDescent="0.25">
      <c r="A105" t="s">
        <v>937</v>
      </c>
    </row>
    <row r="106" spans="1:1" x14ac:dyDescent="0.25">
      <c r="A106" t="s">
        <v>938</v>
      </c>
    </row>
    <row r="107" spans="1:1" x14ac:dyDescent="0.25">
      <c r="A107" t="s">
        <v>939</v>
      </c>
    </row>
    <row r="108" spans="1:1" x14ac:dyDescent="0.25">
      <c r="A108" t="s">
        <v>940</v>
      </c>
    </row>
    <row r="110" spans="1:1" x14ac:dyDescent="0.25">
      <c r="A110" t="s">
        <v>906</v>
      </c>
    </row>
    <row r="111" spans="1:1" x14ac:dyDescent="0.25">
      <c r="A111" t="s">
        <v>941</v>
      </c>
    </row>
    <row r="112" spans="1:1" x14ac:dyDescent="0.25">
      <c r="A112" t="s">
        <v>906</v>
      </c>
    </row>
    <row r="113" spans="1:1" x14ac:dyDescent="0.25">
      <c r="A113" t="s">
        <v>942</v>
      </c>
    </row>
    <row r="114" spans="1:1" x14ac:dyDescent="0.25">
      <c r="A114" t="s">
        <v>943</v>
      </c>
    </row>
    <row r="115" spans="1:1" x14ac:dyDescent="0.25">
      <c r="A115" t="s">
        <v>944</v>
      </c>
    </row>
    <row r="116" spans="1:1" x14ac:dyDescent="0.25">
      <c r="A116" t="s">
        <v>945</v>
      </c>
    </row>
    <row r="118" spans="1:1" x14ac:dyDescent="0.25">
      <c r="A118" t="s">
        <v>906</v>
      </c>
    </row>
    <row r="119" spans="1:1" x14ac:dyDescent="0.25">
      <c r="A119" t="s">
        <v>946</v>
      </c>
    </row>
    <row r="120" spans="1:1" x14ac:dyDescent="0.25">
      <c r="A120" t="s">
        <v>906</v>
      </c>
    </row>
    <row r="121" spans="1:1" x14ac:dyDescent="0.25">
      <c r="A121" t="s">
        <v>947</v>
      </c>
    </row>
    <row r="122" spans="1:1" x14ac:dyDescent="0.25">
      <c r="A122" t="s">
        <v>948</v>
      </c>
    </row>
    <row r="124" spans="1:1" x14ac:dyDescent="0.25">
      <c r="A124" t="s">
        <v>906</v>
      </c>
    </row>
    <row r="125" spans="1:1" x14ac:dyDescent="0.25">
      <c r="A125" t="s">
        <v>949</v>
      </c>
    </row>
    <row r="126" spans="1:1" x14ac:dyDescent="0.25">
      <c r="A126" t="s">
        <v>906</v>
      </c>
    </row>
    <row r="127" spans="1:1" x14ac:dyDescent="0.25">
      <c r="A127" t="s">
        <v>950</v>
      </c>
    </row>
    <row r="128" spans="1:1" x14ac:dyDescent="0.25">
      <c r="A128" t="s">
        <v>951</v>
      </c>
    </row>
    <row r="129" spans="1:1" x14ac:dyDescent="0.25">
      <c r="A129" t="s">
        <v>952</v>
      </c>
    </row>
    <row r="130" spans="1:1" x14ac:dyDescent="0.25">
      <c r="A130" t="s">
        <v>953</v>
      </c>
    </row>
    <row r="131" spans="1:1" x14ac:dyDescent="0.25">
      <c r="A131" t="s">
        <v>954</v>
      </c>
    </row>
    <row r="132" spans="1:1" x14ac:dyDescent="0.25">
      <c r="A132" t="s">
        <v>955</v>
      </c>
    </row>
    <row r="133" spans="1:1" x14ac:dyDescent="0.25">
      <c r="A133" t="s">
        <v>956</v>
      </c>
    </row>
    <row r="134" spans="1:1" x14ac:dyDescent="0.25">
      <c r="A134" t="s">
        <v>957</v>
      </c>
    </row>
    <row r="135" spans="1:1" x14ac:dyDescent="0.25">
      <c r="A135" t="s">
        <v>958</v>
      </c>
    </row>
    <row r="136" spans="1:1" x14ac:dyDescent="0.25">
      <c r="A136" t="s">
        <v>959</v>
      </c>
    </row>
    <row r="137" spans="1:1" x14ac:dyDescent="0.25">
      <c r="A137" t="s">
        <v>960</v>
      </c>
    </row>
    <row r="138" spans="1:1" x14ac:dyDescent="0.25">
      <c r="A138" t="s">
        <v>961</v>
      </c>
    </row>
    <row r="139" spans="1:1" x14ac:dyDescent="0.25">
      <c r="A139" t="s">
        <v>962</v>
      </c>
    </row>
    <row r="141" spans="1:1" x14ac:dyDescent="0.25">
      <c r="A141" t="s">
        <v>963</v>
      </c>
    </row>
    <row r="142" spans="1:1" x14ac:dyDescent="0.25">
      <c r="A142" t="s">
        <v>964</v>
      </c>
    </row>
    <row r="143" spans="1:1" x14ac:dyDescent="0.25">
      <c r="A143" t="s">
        <v>965</v>
      </c>
    </row>
    <row r="144" spans="1:1" x14ac:dyDescent="0.25">
      <c r="A144" t="s">
        <v>966</v>
      </c>
    </row>
    <row r="145" spans="1:1" x14ac:dyDescent="0.25">
      <c r="A145" t="s">
        <v>967</v>
      </c>
    </row>
    <row r="146" spans="1:1" x14ac:dyDescent="0.25">
      <c r="A146" t="s">
        <v>968</v>
      </c>
    </row>
    <row r="147" spans="1:1" x14ac:dyDescent="0.25">
      <c r="A147" t="s">
        <v>969</v>
      </c>
    </row>
    <row r="148" spans="1:1" x14ac:dyDescent="0.25">
      <c r="A148" t="s">
        <v>970</v>
      </c>
    </row>
    <row r="150" spans="1:1" x14ac:dyDescent="0.25">
      <c r="A150" t="s">
        <v>971</v>
      </c>
    </row>
    <row r="151" spans="1:1" x14ac:dyDescent="0.25">
      <c r="A151" t="s">
        <v>972</v>
      </c>
    </row>
    <row r="152" spans="1:1" x14ac:dyDescent="0.25">
      <c r="A152" t="s">
        <v>973</v>
      </c>
    </row>
    <row r="153" spans="1:1" x14ac:dyDescent="0.25">
      <c r="A153" t="s">
        <v>974</v>
      </c>
    </row>
    <row r="155" spans="1:1" x14ac:dyDescent="0.25">
      <c r="A155" t="s">
        <v>975</v>
      </c>
    </row>
    <row r="156" spans="1:1" x14ac:dyDescent="0.25">
      <c r="A156" t="s">
        <v>976</v>
      </c>
    </row>
    <row r="158" spans="1:1" x14ac:dyDescent="0.25">
      <c r="A158" t="s">
        <v>906</v>
      </c>
    </row>
    <row r="159" spans="1:1" x14ac:dyDescent="0.25">
      <c r="A159" t="s">
        <v>977</v>
      </c>
    </row>
    <row r="160" spans="1:1" x14ac:dyDescent="0.25">
      <c r="A160" t="s">
        <v>906</v>
      </c>
    </row>
    <row r="161" spans="1:1" x14ac:dyDescent="0.25">
      <c r="A161" t="s">
        <v>978</v>
      </c>
    </row>
    <row r="162" spans="1:1" x14ac:dyDescent="0.25">
      <c r="A162" t="s">
        <v>979</v>
      </c>
    </row>
    <row r="163" spans="1:1" x14ac:dyDescent="0.25">
      <c r="A163" t="s">
        <v>980</v>
      </c>
    </row>
    <row r="164" spans="1:1" x14ac:dyDescent="0.25">
      <c r="A164" t="s">
        <v>981</v>
      </c>
    </row>
    <row r="165" spans="1:1" x14ac:dyDescent="0.25">
      <c r="A165" t="s">
        <v>982</v>
      </c>
    </row>
    <row r="166" spans="1:1" x14ac:dyDescent="0.25">
      <c r="A166" t="s">
        <v>983</v>
      </c>
    </row>
    <row r="167" spans="1:1" x14ac:dyDescent="0.25">
      <c r="A167" t="s">
        <v>984</v>
      </c>
    </row>
    <row r="168" spans="1:1" x14ac:dyDescent="0.25">
      <c r="A168" t="s">
        <v>985</v>
      </c>
    </row>
    <row r="169" spans="1:1" x14ac:dyDescent="0.25">
      <c r="A169" t="s">
        <v>986</v>
      </c>
    </row>
    <row r="171" spans="1:1" x14ac:dyDescent="0.25">
      <c r="A171" t="s">
        <v>906</v>
      </c>
    </row>
    <row r="172" spans="1:1" x14ac:dyDescent="0.25">
      <c r="A172" t="s">
        <v>987</v>
      </c>
    </row>
    <row r="173" spans="1:1" x14ac:dyDescent="0.25">
      <c r="A173" t="s">
        <v>906</v>
      </c>
    </row>
    <row r="174" spans="1:1" x14ac:dyDescent="0.25">
      <c r="A174" t="s">
        <v>988</v>
      </c>
    </row>
    <row r="175" spans="1:1" x14ac:dyDescent="0.25">
      <c r="A175" t="s">
        <v>989</v>
      </c>
    </row>
    <row r="176" spans="1:1" x14ac:dyDescent="0.25">
      <c r="A176" t="s">
        <v>990</v>
      </c>
    </row>
    <row r="177" spans="1:1" x14ac:dyDescent="0.25">
      <c r="A177" t="s">
        <v>991</v>
      </c>
    </row>
    <row r="178" spans="1:1" x14ac:dyDescent="0.25">
      <c r="A178" t="s">
        <v>992</v>
      </c>
    </row>
    <row r="179" spans="1:1" x14ac:dyDescent="0.25">
      <c r="A179" t="s">
        <v>993</v>
      </c>
    </row>
    <row r="180" spans="1:1" x14ac:dyDescent="0.25">
      <c r="A180" t="s">
        <v>994</v>
      </c>
    </row>
    <row r="181" spans="1:1" x14ac:dyDescent="0.25">
      <c r="A181" t="s">
        <v>995</v>
      </c>
    </row>
    <row r="182" spans="1:1" x14ac:dyDescent="0.25">
      <c r="A182" t="s">
        <v>996</v>
      </c>
    </row>
    <row r="183" spans="1:1" x14ac:dyDescent="0.25">
      <c r="A183" t="s">
        <v>997</v>
      </c>
    </row>
    <row r="184" spans="1:1" x14ac:dyDescent="0.25">
      <c r="A184" t="s">
        <v>998</v>
      </c>
    </row>
    <row r="185" spans="1:1" x14ac:dyDescent="0.25">
      <c r="A185" t="s">
        <v>999</v>
      </c>
    </row>
    <row r="186" spans="1:1" x14ac:dyDescent="0.25">
      <c r="A186" t="s">
        <v>1000</v>
      </c>
    </row>
    <row r="187" spans="1:1" x14ac:dyDescent="0.25">
      <c r="A187" t="s">
        <v>1001</v>
      </c>
    </row>
    <row r="188" spans="1:1" x14ac:dyDescent="0.25">
      <c r="A188" t="s">
        <v>1002</v>
      </c>
    </row>
    <row r="189" spans="1:1" x14ac:dyDescent="0.25">
      <c r="A189" t="s">
        <v>1003</v>
      </c>
    </row>
    <row r="190" spans="1:1" x14ac:dyDescent="0.25">
      <c r="A190" t="s">
        <v>1004</v>
      </c>
    </row>
    <row r="191" spans="1:1" x14ac:dyDescent="0.25">
      <c r="A191" t="s">
        <v>1005</v>
      </c>
    </row>
    <row r="193" spans="1:1" x14ac:dyDescent="0.25">
      <c r="A193" t="s">
        <v>906</v>
      </c>
    </row>
    <row r="194" spans="1:1" x14ac:dyDescent="0.25">
      <c r="A194" t="s">
        <v>1006</v>
      </c>
    </row>
    <row r="195" spans="1:1" x14ac:dyDescent="0.25">
      <c r="A195" t="s">
        <v>906</v>
      </c>
    </row>
    <row r="196" spans="1:1" x14ac:dyDescent="0.25">
      <c r="A196" t="s">
        <v>1007</v>
      </c>
    </row>
    <row r="197" spans="1:1" x14ac:dyDescent="0.25">
      <c r="A197" t="s">
        <v>1008</v>
      </c>
    </row>
    <row r="198" spans="1:1" x14ac:dyDescent="0.25">
      <c r="A198" t="s">
        <v>1009</v>
      </c>
    </row>
    <row r="199" spans="1:1" x14ac:dyDescent="0.25">
      <c r="A199" t="s">
        <v>1010</v>
      </c>
    </row>
    <row r="200" spans="1:1" x14ac:dyDescent="0.25">
      <c r="A200" t="s">
        <v>1011</v>
      </c>
    </row>
    <row r="201" spans="1:1" x14ac:dyDescent="0.25">
      <c r="A201" t="s">
        <v>1012</v>
      </c>
    </row>
    <row r="203" spans="1:1" x14ac:dyDescent="0.25">
      <c r="A203" t="s">
        <v>1013</v>
      </c>
    </row>
    <row r="204" spans="1:1" x14ac:dyDescent="0.25">
      <c r="A204" t="s">
        <v>1014</v>
      </c>
    </row>
    <row r="205" spans="1:1" x14ac:dyDescent="0.25">
      <c r="A205" t="s">
        <v>1015</v>
      </c>
    </row>
    <row r="206" spans="1:1" x14ac:dyDescent="0.25">
      <c r="A206" t="s">
        <v>1016</v>
      </c>
    </row>
    <row r="207" spans="1:1" x14ac:dyDescent="0.25">
      <c r="A207" t="s">
        <v>1017</v>
      </c>
    </row>
    <row r="208" spans="1:1" x14ac:dyDescent="0.25">
      <c r="A208" t="s">
        <v>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6C44-8865-4DDE-B2C5-08563E175315}">
  <dimension ref="A1:Q11"/>
  <sheetViews>
    <sheetView workbookViewId="0">
      <selection activeCell="C3" sqref="C3"/>
    </sheetView>
  </sheetViews>
  <sheetFormatPr baseColWidth="10" defaultRowHeight="15" x14ac:dyDescent="0.25"/>
  <sheetData>
    <row r="1" spans="1:17" x14ac:dyDescent="0.25">
      <c r="A1" t="s">
        <v>417</v>
      </c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  <c r="I1" t="s">
        <v>425</v>
      </c>
      <c r="J1" t="s">
        <v>426</v>
      </c>
      <c r="K1" t="s">
        <v>427</v>
      </c>
      <c r="L1" t="s">
        <v>428</v>
      </c>
      <c r="M1" t="s">
        <v>429</v>
      </c>
      <c r="N1" t="s">
        <v>430</v>
      </c>
      <c r="O1" t="s">
        <v>431</v>
      </c>
      <c r="P1" t="s">
        <v>1018</v>
      </c>
      <c r="Q1" t="s">
        <v>1019</v>
      </c>
    </row>
    <row r="2" spans="1:17" x14ac:dyDescent="0.25">
      <c r="A2">
        <v>2</v>
      </c>
      <c r="B2" t="s">
        <v>436</v>
      </c>
      <c r="C2">
        <v>246759</v>
      </c>
      <c r="D2">
        <v>8</v>
      </c>
      <c r="E2">
        <v>0</v>
      </c>
      <c r="F2">
        <v>0</v>
      </c>
      <c r="G2">
        <v>47</v>
      </c>
      <c r="H2" s="2">
        <v>44578</v>
      </c>
      <c r="I2" t="s">
        <v>1020</v>
      </c>
      <c r="J2" t="s">
        <v>1021</v>
      </c>
      <c r="K2">
        <v>1</v>
      </c>
      <c r="L2">
        <v>19</v>
      </c>
      <c r="M2">
        <v>19</v>
      </c>
      <c r="N2">
        <v>19</v>
      </c>
      <c r="O2">
        <v>648656</v>
      </c>
      <c r="P2" s="2">
        <v>44607.676523761576</v>
      </c>
      <c r="Q2" t="s">
        <v>1022</v>
      </c>
    </row>
    <row r="3" spans="1:17" x14ac:dyDescent="0.25">
      <c r="A3">
        <v>3</v>
      </c>
      <c r="B3" t="s">
        <v>436</v>
      </c>
      <c r="C3">
        <v>246801</v>
      </c>
      <c r="D3">
        <v>10</v>
      </c>
      <c r="E3">
        <v>0</v>
      </c>
      <c r="F3">
        <v>0</v>
      </c>
      <c r="G3">
        <v>47</v>
      </c>
      <c r="H3" s="2">
        <v>44579</v>
      </c>
      <c r="I3" t="s">
        <v>1020</v>
      </c>
      <c r="J3" t="s">
        <v>1021</v>
      </c>
      <c r="K3">
        <v>1</v>
      </c>
      <c r="L3">
        <v>19</v>
      </c>
      <c r="M3">
        <v>19</v>
      </c>
      <c r="N3">
        <v>19</v>
      </c>
      <c r="O3">
        <v>999999999</v>
      </c>
      <c r="P3" s="2">
        <v>44607.676540127315</v>
      </c>
      <c r="Q3" t="s">
        <v>1022</v>
      </c>
    </row>
    <row r="4" spans="1:17" x14ac:dyDescent="0.25">
      <c r="A4">
        <v>4</v>
      </c>
      <c r="B4" t="s">
        <v>436</v>
      </c>
      <c r="C4">
        <v>247139</v>
      </c>
      <c r="D4">
        <v>8</v>
      </c>
      <c r="E4">
        <v>0</v>
      </c>
      <c r="F4">
        <v>0</v>
      </c>
      <c r="G4">
        <v>47</v>
      </c>
      <c r="H4" s="2">
        <v>44583</v>
      </c>
      <c r="I4" t="s">
        <v>1020</v>
      </c>
      <c r="J4" t="s">
        <v>1021</v>
      </c>
      <c r="K4">
        <v>1</v>
      </c>
      <c r="L4">
        <v>19</v>
      </c>
      <c r="M4">
        <v>19</v>
      </c>
      <c r="N4">
        <v>19</v>
      </c>
      <c r="O4">
        <v>999999999</v>
      </c>
      <c r="P4" s="2">
        <v>44607.676580243053</v>
      </c>
      <c r="Q4" t="s">
        <v>1022</v>
      </c>
    </row>
    <row r="5" spans="1:17" x14ac:dyDescent="0.25">
      <c r="A5">
        <v>5</v>
      </c>
      <c r="B5" t="s">
        <v>436</v>
      </c>
      <c r="C5">
        <v>247305</v>
      </c>
      <c r="D5">
        <v>6</v>
      </c>
      <c r="E5">
        <v>0</v>
      </c>
      <c r="F5">
        <v>0</v>
      </c>
      <c r="G5">
        <v>47</v>
      </c>
      <c r="H5" s="2">
        <v>44585</v>
      </c>
      <c r="I5" t="s">
        <v>1020</v>
      </c>
      <c r="J5" t="s">
        <v>1021</v>
      </c>
      <c r="K5">
        <v>1</v>
      </c>
      <c r="L5">
        <v>19</v>
      </c>
      <c r="M5">
        <v>19</v>
      </c>
      <c r="N5">
        <v>19</v>
      </c>
      <c r="O5">
        <v>999999999</v>
      </c>
      <c r="P5" s="2">
        <v>44607.67660327546</v>
      </c>
      <c r="Q5" t="s">
        <v>1022</v>
      </c>
    </row>
    <row r="6" spans="1:17" x14ac:dyDescent="0.25">
      <c r="A6">
        <v>6</v>
      </c>
      <c r="B6" t="s">
        <v>436</v>
      </c>
      <c r="C6">
        <v>247863</v>
      </c>
      <c r="D6">
        <v>8</v>
      </c>
      <c r="E6">
        <v>0</v>
      </c>
      <c r="F6">
        <v>0</v>
      </c>
      <c r="G6">
        <v>47</v>
      </c>
      <c r="H6" s="2">
        <v>44592</v>
      </c>
      <c r="I6" t="s">
        <v>1020</v>
      </c>
      <c r="J6" t="s">
        <v>1021</v>
      </c>
      <c r="K6">
        <v>1</v>
      </c>
      <c r="L6">
        <v>19</v>
      </c>
      <c r="M6">
        <v>19</v>
      </c>
      <c r="N6">
        <v>19</v>
      </c>
      <c r="O6">
        <v>999999999</v>
      </c>
      <c r="P6" s="2">
        <v>44607.676663078702</v>
      </c>
      <c r="Q6" t="s">
        <v>1022</v>
      </c>
    </row>
    <row r="7" spans="1:17" x14ac:dyDescent="0.25">
      <c r="A7">
        <v>7</v>
      </c>
      <c r="B7" t="s">
        <v>436</v>
      </c>
      <c r="C7">
        <v>247915</v>
      </c>
      <c r="D7">
        <v>6</v>
      </c>
      <c r="E7">
        <v>0</v>
      </c>
      <c r="F7">
        <v>0</v>
      </c>
      <c r="G7">
        <v>47</v>
      </c>
      <c r="H7" s="2">
        <v>44592</v>
      </c>
      <c r="I7" t="s">
        <v>1020</v>
      </c>
      <c r="J7" t="s">
        <v>1021</v>
      </c>
      <c r="K7">
        <v>1</v>
      </c>
      <c r="L7">
        <v>19</v>
      </c>
      <c r="M7">
        <v>19</v>
      </c>
      <c r="N7">
        <v>19</v>
      </c>
      <c r="O7">
        <v>999999999</v>
      </c>
      <c r="P7" s="2">
        <v>44607.676663113423</v>
      </c>
      <c r="Q7" t="s">
        <v>1022</v>
      </c>
    </row>
    <row r="8" spans="1:17" x14ac:dyDescent="0.25">
      <c r="A8">
        <v>8</v>
      </c>
      <c r="B8" t="s">
        <v>436</v>
      </c>
      <c r="C8">
        <v>248013</v>
      </c>
      <c r="D8">
        <v>6</v>
      </c>
      <c r="E8">
        <v>0</v>
      </c>
      <c r="F8">
        <v>0</v>
      </c>
      <c r="G8">
        <v>47</v>
      </c>
      <c r="H8" s="2">
        <v>44593</v>
      </c>
      <c r="I8" t="s">
        <v>1020</v>
      </c>
      <c r="J8" t="s">
        <v>1021</v>
      </c>
      <c r="K8">
        <v>1</v>
      </c>
      <c r="L8">
        <v>19</v>
      </c>
      <c r="M8">
        <v>19</v>
      </c>
      <c r="N8">
        <v>19</v>
      </c>
      <c r="O8">
        <v>999999999</v>
      </c>
      <c r="P8" s="2">
        <v>44607.676673032409</v>
      </c>
      <c r="Q8" t="s">
        <v>1022</v>
      </c>
    </row>
    <row r="9" spans="1:17" x14ac:dyDescent="0.25">
      <c r="A9">
        <v>9</v>
      </c>
      <c r="B9" t="s">
        <v>436</v>
      </c>
      <c r="C9">
        <v>248454</v>
      </c>
      <c r="D9">
        <v>8</v>
      </c>
      <c r="E9">
        <v>0</v>
      </c>
      <c r="F9">
        <v>0</v>
      </c>
      <c r="G9">
        <v>47</v>
      </c>
      <c r="H9" s="2">
        <v>44599</v>
      </c>
      <c r="I9" t="s">
        <v>1020</v>
      </c>
      <c r="J9" t="s">
        <v>1021</v>
      </c>
      <c r="K9">
        <v>1</v>
      </c>
      <c r="L9">
        <v>19</v>
      </c>
      <c r="M9">
        <v>19</v>
      </c>
      <c r="N9">
        <v>19</v>
      </c>
      <c r="O9">
        <v>999999999</v>
      </c>
      <c r="P9" s="2">
        <v>44607.676805555559</v>
      </c>
      <c r="Q9" t="s">
        <v>1022</v>
      </c>
    </row>
    <row r="10" spans="1:17" x14ac:dyDescent="0.25">
      <c r="A10">
        <v>10</v>
      </c>
      <c r="B10" t="s">
        <v>436</v>
      </c>
      <c r="C10">
        <v>248460</v>
      </c>
      <c r="D10">
        <v>6</v>
      </c>
      <c r="E10">
        <v>0</v>
      </c>
      <c r="F10">
        <v>0</v>
      </c>
      <c r="G10">
        <v>47</v>
      </c>
      <c r="H10" s="2">
        <v>44599</v>
      </c>
      <c r="I10" t="s">
        <v>1020</v>
      </c>
      <c r="J10" t="s">
        <v>1021</v>
      </c>
      <c r="K10">
        <v>1</v>
      </c>
      <c r="L10">
        <v>19</v>
      </c>
      <c r="M10">
        <v>19</v>
      </c>
      <c r="N10">
        <v>19</v>
      </c>
      <c r="O10">
        <v>999999999</v>
      </c>
      <c r="P10" s="2">
        <v>44607.676805636576</v>
      </c>
      <c r="Q10" t="s">
        <v>1022</v>
      </c>
    </row>
    <row r="11" spans="1:17" x14ac:dyDescent="0.25">
      <c r="A11">
        <v>11</v>
      </c>
      <c r="B11" t="s">
        <v>436</v>
      </c>
      <c r="C11">
        <v>247059</v>
      </c>
      <c r="D11">
        <v>8</v>
      </c>
      <c r="E11">
        <v>0</v>
      </c>
      <c r="F11">
        <v>0</v>
      </c>
      <c r="G11">
        <v>47</v>
      </c>
      <c r="H11" s="2">
        <v>44582</v>
      </c>
      <c r="I11" t="s">
        <v>1023</v>
      </c>
      <c r="J11" t="s">
        <v>1024</v>
      </c>
      <c r="K11">
        <v>1</v>
      </c>
      <c r="L11">
        <v>7</v>
      </c>
      <c r="M11">
        <v>7</v>
      </c>
      <c r="N11">
        <v>7</v>
      </c>
      <c r="O11">
        <v>999999999</v>
      </c>
      <c r="P11" s="2">
        <v>44607.676568668983</v>
      </c>
      <c r="Q11" t="s">
        <v>1022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246F-26DA-459C-A7FA-FBADB091F344}">
  <dimension ref="A1:E6"/>
  <sheetViews>
    <sheetView tabSelected="1" workbookViewId="0">
      <selection sqref="A1:E6"/>
    </sheetView>
  </sheetViews>
  <sheetFormatPr baseColWidth="10" defaultRowHeight="15" x14ac:dyDescent="0.25"/>
  <sheetData>
    <row r="1" spans="1:5" x14ac:dyDescent="0.25">
      <c r="A1" t="s">
        <v>1025</v>
      </c>
      <c r="B1" t="s">
        <v>1026</v>
      </c>
      <c r="C1" t="s">
        <v>432</v>
      </c>
      <c r="D1" t="s">
        <v>1027</v>
      </c>
      <c r="E1" t="s">
        <v>418</v>
      </c>
    </row>
    <row r="2" spans="1:5" x14ac:dyDescent="0.25">
      <c r="A2" t="s">
        <v>1028</v>
      </c>
      <c r="B2" t="s">
        <v>1029</v>
      </c>
      <c r="C2">
        <v>15</v>
      </c>
      <c r="D2">
        <v>15</v>
      </c>
      <c r="E2" t="s">
        <v>436</v>
      </c>
    </row>
    <row r="3" spans="1:5" x14ac:dyDescent="0.25">
      <c r="A3" t="s">
        <v>1030</v>
      </c>
      <c r="B3" t="s">
        <v>1031</v>
      </c>
      <c r="C3">
        <v>16</v>
      </c>
      <c r="D3">
        <v>16</v>
      </c>
      <c r="E3" t="s">
        <v>436</v>
      </c>
    </row>
    <row r="4" spans="1:5" x14ac:dyDescent="0.25">
      <c r="A4" t="s">
        <v>1032</v>
      </c>
      <c r="B4" t="s">
        <v>1033</v>
      </c>
      <c r="C4">
        <v>26</v>
      </c>
      <c r="D4">
        <v>26</v>
      </c>
      <c r="E4" t="s">
        <v>436</v>
      </c>
    </row>
    <row r="5" spans="1:5" x14ac:dyDescent="0.25">
      <c r="A5" t="s">
        <v>1034</v>
      </c>
      <c r="B5" t="s">
        <v>1035</v>
      </c>
      <c r="C5">
        <v>27</v>
      </c>
      <c r="D5">
        <v>27</v>
      </c>
      <c r="E5" t="s">
        <v>436</v>
      </c>
    </row>
    <row r="6" spans="1:5" x14ac:dyDescent="0.25">
      <c r="A6" t="s">
        <v>1036</v>
      </c>
      <c r="B6" t="s">
        <v>1037</v>
      </c>
      <c r="C6">
        <v>28</v>
      </c>
      <c r="D6">
        <v>28</v>
      </c>
      <c r="E6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 POS_Transaction</vt:lpstr>
      <vt:lpstr>POS_TransactionItem</vt:lpstr>
      <vt:lpstr>POS_TransactionTax</vt:lpstr>
      <vt:lpstr>POS_TransactionTender</vt:lpstr>
      <vt:lpstr>la_store_sales</vt:lpstr>
      <vt:lpstr>vw_POS_VentaItemsTransactionID	</vt:lpstr>
      <vt:lpstr>la vista en sql server origen</vt:lpstr>
      <vt:lpstr>la_delivery_errors</vt:lpstr>
      <vt:lpstr> ADR_TIENDA_SERIE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Gil</dc:creator>
  <cp:lastModifiedBy>David Gil</cp:lastModifiedBy>
  <dcterms:created xsi:type="dcterms:W3CDTF">2026-06-06T14:27:50Z</dcterms:created>
  <dcterms:modified xsi:type="dcterms:W3CDTF">2026-06-06T15:53:55Z</dcterms:modified>
</cp:coreProperties>
</file>